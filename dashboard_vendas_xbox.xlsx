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e7e020b21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94be2ed52784e21"/>
    <x:sheet xmlns:r="http://schemas.openxmlformats.org/officeDocument/2006/relationships" name="Dados_Vendas" sheetId="2" r:id="Rf4a6b1b1a8c04586"/>
    <x:sheet xmlns:r="http://schemas.openxmlformats.org/officeDocument/2006/relationships" name="Resumo" sheetId="3" r:id="R8fdbe5288bcd47e2"/>
    <x:sheet xmlns:r="http://schemas.openxmlformats.org/officeDocument/2006/relationships" name="Instrucoes" sheetId="4" r:id="R3c0878355e2848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R$ #,##0.00"/>
    <x:numFmt numFmtId="202" formatCode="0"/>
    <x:numFmt numFmtId="203" formatCode="0.0%"/>
  </x:numFmts>
  <x:fonts count="21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5"/>
      <x:color rgb="FFFFFF"/>
      <x:name val="Carlito"/>
    </x:font>
    <x:font>
      <x:b/>
      <x:sz val="20"/>
      <x:color rgb="FFFFFF"/>
      <x:name val="Carlito"/>
    </x:font>
    <x:font>
      <x:i/>
      <x:sz val="11"/>
      <x:color rgb="D1D5DB"/>
      <x:name val="Carlito"/>
    </x:font>
    <x:font>
      <x:b/>
      <x:sz val="11"/>
      <x:color rgb="111827"/>
      <x:name val="Carlito"/>
    </x:font>
    <x:font>
      <x:b/>
      <x:sz val="15"/>
      <x:color rgb="064E3B"/>
      <x:name val="Carlito"/>
    </x:font>
    <x:font>
      <x:b/>
      <x:sz val="12"/>
      <x:color rgb="FFFFFF"/>
      <x:name val="Carlito"/>
    </x:font>
    <x:font>
      <x:sz val="11"/>
      <x:color rgb="FFFFFF"/>
      <x:name val="Carlito"/>
    </x:font>
    <x:font>
      <x:b/>
      <x:sz val="12"/>
      <x:color rgb="111827"/>
      <x:name val="Carlito"/>
    </x:font>
    <x:font>
      <x:b/>
      <x:sz val="20"/>
      <x:color rgb="FFFFFF"/>
      <x:name val="Calibri"/>
    </x:font>
    <x:font>
      <x:sz val="11"/>
      <x:name val="Calibri"/>
    </x:font>
    <x:font>
      <x:i/>
      <x:sz val="11"/>
      <x:color rgb="D1D5DB"/>
      <x:name val="Calibri"/>
    </x:font>
    <x:font>
      <x:b/>
      <x:sz val="11"/>
      <x:color rgb="111827"/>
      <x:name val="Calibri"/>
    </x:font>
    <x:font>
      <x:b/>
      <x:sz val="15"/>
      <x:color rgb="064E3B"/>
      <x:name val="Calibri"/>
    </x:font>
    <x:font>
      <x:b/>
      <x:sz val="12"/>
      <x:color rgb="FFFFFF"/>
      <x:name val="Calibri"/>
    </x:font>
    <x:font>
      <x:b/>
      <x:sz val="11"/>
      <x:color rgb="FFFFFF"/>
      <x:name val="Calibri"/>
    </x:font>
    <x:font>
      <x:b/>
      <x:sz val="12"/>
      <x:color rgb="111827"/>
      <x:name val="Calibri"/>
    </x:font>
    <x:font>
      <x:b/>
      <x:sz val="16"/>
      <x:color rgb="064E3B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07C10"/>
      </x:patternFill>
    </x:fill>
    <x:fill>
      <x:patternFill patternType="solid">
        <x:fgColor rgb="DFF6DD"/>
      </x:patternFill>
    </x:fill>
    <x:fill>
      <x:patternFill patternType="solid">
        <x:fgColor rgb="F3F4F6"/>
      </x:patternFill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FFFFFF"/>
      </x:patternFill>
    </x:fill>
    <x:fill>
      <x:patternFill patternType="solid">
        <x:fgColor rgb="E5E7EB"/>
      </x:patternFill>
    </x:fill>
    <x:fill>
      <x:patternFill patternType="solid">
        <x:fgColor rgb="DFF6DD"/>
      </x:patternFill>
    </x:fill>
    <x:fill>
      <x:patternFill patternType="solid">
        <x:fgColor rgb="DFF6DD"/>
      </x:patternFill>
    </x:fill>
  </x:fills>
  <x:borders count="2">
    <x:border/>
    <x:border/>
  </x:borders>
  <x:cellStyleXfs count="1">
    <x:xf numFmtId="0" fontId="0" fillId="0" borderId="0"/>
  </x:cellStyleXfs>
  <x:cellXfs count="1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top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top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vertical="center"/>
    </x:xf>
    <x:xf numFmtId="201" fontId="8" fillId="4" borderId="0" xfId="0" applyNumberFormat="1" applyFont="1" applyFill="1" applyBorder="1" applyAlignment="1">
      <x:alignment horizontal="center" vertical="center"/>
    </x:xf>
    <x:xf numFmtId="201" fontId="8" fillId="4" borderId="1" xfId="0" applyNumberFormat="1" applyFont="1" applyFill="1" applyBorder="1" applyAlignment="1">
      <x:alignment horizontal="center" vertical="center"/>
    </x:xf>
    <x:xf numFmtId="202" fontId="8" fillId="4" borderId="0" xfId="0" applyNumberFormat="1" applyFont="1" applyFill="1" applyBorder="1" applyAlignment="1">
      <x:alignment horizontal="center" vertical="center"/>
    </x:xf>
    <x:xf numFmtId="202" fontId="8" fillId="4" borderId="1" xfId="0" applyNumberFormat="1" applyFont="1" applyFill="1" applyBorder="1" applyAlignment="1">
      <x:alignment horizontal="center" vertical="center"/>
    </x:xf>
    <x:xf numFmtId="203" fontId="8" fillId="4" borderId="0" xfId="0" applyNumberFormat="1" applyFont="1" applyFill="1" applyBorder="1" applyAlignment="1">
      <x:alignment horizontal="center" vertical="center"/>
    </x:xf>
    <x:xf numFmtId="203" fontId="8" fillId="4" borderId="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4" fillId="6" borderId="0" xfId="0" applyNumberFormat="1" applyFont="1" applyFill="1" applyBorder="1" applyAlignment="1">
      <x:alignment horizontal="center"/>
    </x:xf>
    <x:xf numFmtId="0" fontId="15" fillId="7" borderId="0" xfId="0" applyNumberFormat="1" applyFont="1" applyFill="1" applyBorder="1" applyAlignment="1">
      <x:alignment horizontal="center" vertical="top"/>
    </x:xf>
    <x:xf numFmtId="201" fontId="16" fillId="4" borderId="0" xfId="0" applyNumberFormat="1" applyFont="1" applyFill="1" applyBorder="1" applyAlignment="1">
      <x:alignment horizontal="center" vertical="center"/>
    </x:xf>
    <x:xf numFmtId="202" fontId="16" fillId="4" borderId="0" xfId="0" applyNumberFormat="1" applyFont="1" applyFill="1" applyBorder="1" applyAlignment="1">
      <x:alignment horizontal="center" vertical="center"/>
    </x:xf>
    <x:xf numFmtId="203" fontId="16" fillId="4" borderId="0" xfId="0" applyNumberFormat="1" applyFont="1" applyFill="1" applyBorder="1" applyAlignment="1">
      <x:alignment horizontal="center" vertical="center"/>
    </x:xf>
    <x:xf numFmtId="0" fontId="17" fillId="3" borderId="0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4" fillId="6" borderId="1" xfId="0" applyNumberFormat="1" applyFont="1" applyFill="1" applyBorder="1" applyAlignment="1">
      <x:alignment horizontal="center"/>
    </x:xf>
    <x:xf numFmtId="0" fontId="15" fillId="7" borderId="1" xfId="0" applyNumberFormat="1" applyFont="1" applyFill="1" applyBorder="1" applyAlignment="1">
      <x:alignment horizontal="center" vertical="top"/>
    </x:xf>
    <x:xf numFmtId="201" fontId="16" fillId="4" borderId="1" xfId="0" applyNumberFormat="1" applyFont="1" applyFill="1" applyBorder="1" applyAlignment="1">
      <x:alignment horizontal="center" vertical="center"/>
    </x:xf>
    <x:xf numFmtId="202" fontId="16" fillId="4" borderId="1" xfId="0" applyNumberFormat="1" applyFont="1" applyFill="1" applyBorder="1" applyAlignment="1">
      <x:alignment horizontal="center" vertical="center"/>
    </x:xf>
    <x:xf numFmtId="203" fontId="16" fillId="4" borderId="1" xfId="0" applyNumberFormat="1" applyFont="1" applyFill="1" applyBorder="1" applyAlignment="1">
      <x:alignment horizontal="center" vertical="center"/>
    </x:xf>
    <x:xf numFmtId="0" fontId="17" fillId="3" borderId="1" xfId="0" applyNumberFormat="1" applyFont="1" applyFill="1" applyBorder="1" applyAlignment="1">
      <x:alignment horizontal="center"/>
    </x:xf>
    <x:xf numFmtId="0" fontId="18" fillId="2" borderId="1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/>
    <x:xf numFmtId="0" fontId="15" fillId="8" borderId="0" xfId="0" applyNumberFormat="1" applyFont="1" applyFill="1" applyBorder="1" applyAlignment="1">
      <x:alignment horizontal="center" vertical="top"/>
    </x:xf>
    <x:xf numFmtId="201" fontId="16" fillId="8" borderId="0" xfId="0" applyNumberFormat="1" applyFont="1" applyFill="1" applyBorder="1" applyAlignment="1">
      <x:alignment horizontal="center" vertical="center"/>
    </x:xf>
    <x:xf numFmtId="202" fontId="16" fillId="8" borderId="0" xfId="0" applyNumberFormat="1" applyFont="1" applyFill="1" applyBorder="1" applyAlignment="1">
      <x:alignment horizontal="center" vertical="center"/>
    </x:xf>
    <x:xf numFmtId="203" fontId="16" fillId="8" borderId="0" xfId="0" applyNumberFormat="1" applyFont="1" applyFill="1" applyBorder="1" applyAlignment="1">
      <x:alignment horizontal="center" vertical="center"/>
    </x:xf>
    <x:xf numFmtId="0" fontId="17" fillId="8" borderId="0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vertical="center" wrapText="1"/>
    </x:xf>
    <x:xf numFmtId="0" fontId="13" fillId="8" borderId="1" xfId="0" applyNumberFormat="1" applyFont="1" applyFill="1" applyBorder="1"/>
    <x:xf numFmtId="0" fontId="15" fillId="8" borderId="1" xfId="0" applyNumberFormat="1" applyFont="1" applyFill="1" applyBorder="1" applyAlignment="1">
      <x:alignment horizontal="center" vertical="top"/>
    </x:xf>
    <x:xf numFmtId="201" fontId="16" fillId="8" borderId="1" xfId="0" applyNumberFormat="1" applyFont="1" applyFill="1" applyBorder="1" applyAlignment="1">
      <x:alignment horizontal="center" vertical="center"/>
    </x:xf>
    <x:xf numFmtId="202" fontId="16" fillId="8" borderId="1" xfId="0" applyNumberFormat="1" applyFont="1" applyFill="1" applyBorder="1" applyAlignment="1">
      <x:alignment horizontal="center" vertical="center"/>
    </x:xf>
    <x:xf numFmtId="203" fontId="16" fillId="8" borderId="1" xfId="0" applyNumberFormat="1" applyFont="1" applyFill="1" applyBorder="1" applyAlignment="1">
      <x:alignment horizontal="center" vertical="center"/>
    </x:xf>
    <x:xf numFmtId="0" fontId="17" fillId="8" borderId="1" xfId="0" applyNumberFormat="1" applyFont="1" applyFill="1" applyBorder="1" applyAlignment="1">
      <x:alignment horizontal="center"/>
    </x:xf>
    <x:xf numFmtId="0" fontId="18" fillId="8" borderId="1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/>
    <x:xf numFmtId="0" fontId="15" fillId="7" borderId="0" xfId="0" applyNumberFormat="1" applyFont="1" applyFill="1" applyBorder="1"/>
    <x:xf numFmtId="0" fontId="15" fillId="7" borderId="0" xfId="0" applyNumberFormat="1" applyFont="1" applyFill="1" applyBorder="1" applyAlignment="1">
      <x:alignment horizontal="center"/>
    </x:xf>
    <x:xf numFmtId="0" fontId="13" fillId="7" borderId="1" xfId="0" applyNumberFormat="1" applyFont="1" applyFill="1" applyBorder="1"/>
    <x:xf numFmtId="0" fontId="15" fillId="7" borderId="1" xfId="0" applyNumberFormat="1" applyFont="1" applyFill="1" applyBorder="1"/>
    <x:xf numFmtId="0" fontId="15" fillId="7" borderId="1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/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horizontal="center"/>
    </x:xf>
    <x:xf numFmtId="0" fontId="16" fillId="4" borderId="0" xfId="0" applyNumberFormat="1" applyFont="1" applyFill="1" applyBorder="1" applyAlignment="1">
      <x:alignment horizontal="center" vertical="center"/>
    </x:xf>
    <x:xf numFmtId="0" fontId="13" fillId="4" borderId="1" xfId="0" applyNumberFormat="1" applyFont="1" applyFill="1" applyBorder="1"/>
    <x:xf numFmtId="0" fontId="16" fillId="4" borderId="1" xfId="0" applyNumberFormat="1" applyFont="1" applyFill="1" applyBorder="1"/>
    <x:xf numFmtId="0" fontId="16" fillId="4" borderId="1" xfId="0" applyNumberFormat="1" applyFont="1" applyFill="1" applyBorder="1" applyAlignment="1">
      <x:alignment horizontal="center"/>
    </x:xf>
    <x:xf numFmtId="0" fontId="16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5" fillId="9" borderId="0" xfId="0" applyNumberFormat="1" applyFont="1" applyFill="1" applyBorder="1" applyAlignment="1">
      <x:alignment horizontal="center" vertical="top"/>
    </x:xf>
    <x:xf numFmtId="0" fontId="15" fillId="9" borderId="0" xfId="0" applyNumberFormat="1" applyFont="1" applyFill="1" applyBorder="1" applyAlignment="1">
      <x:alignment horizontal="center" vertical="center"/>
    </x:xf>
    <x:xf numFmtId="201" fontId="16" fillId="10" borderId="0" xfId="0" applyNumberFormat="1" applyFont="1" applyFill="1" applyBorder="1" applyAlignment="1">
      <x:alignment horizontal="center" vertical="center"/>
    </x:xf>
    <x:xf numFmtId="201" fontId="20" fillId="10" borderId="0" xfId="0" applyNumberFormat="1" applyFont="1" applyFill="1" applyBorder="1" applyAlignment="1">
      <x:alignment horizontal="center" vertical="center"/>
    </x:xf>
    <x:xf numFmtId="202" fontId="16" fillId="10" borderId="0" xfId="0" applyNumberFormat="1" applyFont="1" applyFill="1" applyBorder="1" applyAlignment="1">
      <x:alignment horizontal="center" vertical="center"/>
    </x:xf>
    <x:xf numFmtId="202" fontId="20" fillId="10" borderId="0" xfId="0" applyNumberFormat="1" applyFont="1" applyFill="1" applyBorder="1" applyAlignment="1">
      <x:alignment horizontal="center" vertical="center"/>
    </x:xf>
    <x:xf numFmtId="203" fontId="16" fillId="10" borderId="0" xfId="0" applyNumberFormat="1" applyFont="1" applyFill="1" applyBorder="1" applyAlignment="1">
      <x:alignment horizontal="center" vertical="center"/>
    </x:xf>
    <x:xf numFmtId="203" fontId="20" fillId="10" borderId="0" xfId="0" applyNumberFormat="1" applyFont="1" applyFill="1" applyBorder="1" applyAlignment="1">
      <x:alignment horizontal="center" vertical="center"/>
    </x:xf>
    <x:xf numFmtId="0" fontId="15" fillId="7" borderId="0" xfId="0" applyNumberFormat="1" applyFont="1" applyFill="1" applyBorder="1" applyAlignment="1">
      <x:alignment horizontal="center" vertical="center"/>
    </x:xf>
    <x:xf numFmtId="201" fontId="20" fillId="4" borderId="0" xfId="0" applyNumberFormat="1" applyFont="1" applyFill="1" applyBorder="1" applyAlignment="1">
      <x:alignment horizontal="center" vertical="center"/>
    </x:xf>
    <x:xf numFmtId="202" fontId="20" fillId="4" borderId="0" xfId="0" applyNumberFormat="1" applyFont="1" applyFill="1" applyBorder="1" applyAlignment="1">
      <x:alignment horizontal="center" vertical="center"/>
    </x:xf>
    <x:xf numFmtId="203" fontId="20" fillId="4" borderId="0" xfId="0" applyNumberFormat="1" applyFont="1" applyFill="1" applyBorder="1" applyAlignment="1">
      <x:alignment horizontal="center" vertical="center"/>
    </x:xf>
    <x:xf numFmtId="201" fontId="20" fillId="11" borderId="0" xfId="0" applyNumberFormat="1" applyFont="1" applyFill="1" applyBorder="1" applyAlignment="1">
      <x:alignment horizontal="center" vertical="center"/>
    </x:xf>
    <x:xf numFmtId="202" fontId="20" fillId="11" borderId="0" xfId="0" applyNumberFormat="1" applyFont="1" applyFill="1" applyBorder="1" applyAlignment="1">
      <x:alignment horizontal="center" vertical="center"/>
    </x:xf>
    <x:xf numFmtId="203" fontId="20" fillId="11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991B1B"/>
      </x:font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5564ffad24bdc" /><Relationship Type="http://schemas.openxmlformats.org/officeDocument/2006/relationships/theme" Target="/xl/theme/theme1.xml" Id="R349757118f8b4b0d" /><Relationship Type="http://schemas.openxmlformats.org/officeDocument/2006/relationships/sharedStrings" Target="/xl/sharedStrings.xml" Id="R1a6f86cafe1f4212" /><Relationship Type="http://schemas.openxmlformats.org/officeDocument/2006/relationships/worksheet" Target="/xl/worksheets/sheet1.xml" Id="R694be2ed52784e21" /><Relationship Type="http://schemas.openxmlformats.org/officeDocument/2006/relationships/worksheet" Target="/xl/worksheets/sheet2.xml" Id="Rf4a6b1b1a8c04586" /><Relationship Type="http://schemas.openxmlformats.org/officeDocument/2006/relationships/worksheet" Target="/xl/worksheets/sheet3.xml" Id="R8fdbe5288bcd47e2" /><Relationship Type="http://schemas.openxmlformats.org/officeDocument/2006/relationships/worksheet" Target="/xl/worksheets/sheet4.xml" Id="R3c0878355e2848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6a7f34ec5641d1" /><Relationship Type="http://schemas.openxmlformats.org/officeDocument/2006/relationships/chart" Target="/xl/drawings/charts/chart2.xml" Id="R93986df1cbaf4a9f" /><Relationship Type="http://schemas.openxmlformats.org/officeDocument/2006/relationships/chart" Target="/xl/drawings/charts/chart3.xml" Id="R7f9085d27a3a4ff9" /><Relationship Type="http://schemas.openxmlformats.org/officeDocument/2006/relationships/chart" Target="/xl/drawings/charts/chart4.xml" Id="R348bc334087c41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Receita e Lucro por Mês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Receita</c:v>
          </c:tx>
          <c:cat>
            <c:strRef>
              <c:f>'Dashboard'!$P$4:$P$15</c:f>
              <c:strCache>
                <c:ptCount val="0"/>
              </c:strCache>
            </c:strRef>
          </c:cat>
          <c:val>
            <c:numRef>
              <c:f>'Dashboard'!$Q$4:$Q$15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Lucro</c:v>
          </c:tx>
          <c:cat>
            <c:strRef>
              <c:f>'Dashboard'!$P$4:$P$15</c:f>
              <c:strCache>
                <c:ptCount val="0"/>
              </c:strCache>
            </c:strRef>
          </c:cat>
          <c:val>
            <c:numRef>
              <c:f>'Dashboard'!$R$4:$R$15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Receita por Produto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Receita</c:v>
          </c:tx>
          <c:cat>
            <c:strRef>
              <c:f>'Dashboard'!$T$4:$T$11</c:f>
              <c:strCache>
                <c:ptCount val="0"/>
              </c:strCache>
            </c:strRef>
          </c:cat>
          <c:val>
            <c:numRef>
              <c:f>'Dashboard'!$U$4:$U$11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Receita por Região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</c:v>
          </c:tx>
          <c:cat>
            <c:strRef>
              <c:f>'Dashboard'!$P$19:$P$23</c:f>
              <c:strCache>
                <c:ptCount val="0"/>
              </c:strCache>
            </c:strRef>
          </c:cat>
          <c:val>
            <c:numRef>
              <c:f>'Dashboard'!$Q$19:$Q$23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Participação por Canal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Receita</c:v>
          </c:tx>
          <c:cat>
            <c:strRef>
              <c:f>'Dashboard'!$T$19:$T$22</c:f>
              <c:strCache>
                <c:ptCount val="0"/>
              </c:strCache>
            </c:strRef>
          </c:cat>
          <c:val>
            <c:numRef>
              <c:f>'Dashboard'!$U$19:$U$22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6a7f34ec5641d1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986df1cbaf4a9f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9085d27a3a4ff9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8bc334087c41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VendasXbox" displayName="TabelaVendasXbox" ref="A1:M151" headerRowCount="1">
  <x:tableColumns count="13">
    <x:tableColumn id="1" name="ID Venda"/>
    <x:tableColumn id="2" name="Data"/>
    <x:tableColumn id="3" name="Produto"/>
    <x:tableColumn id="4" name="Categoria"/>
    <x:tableColumn id="5" name="Região"/>
    <x:tableColumn id="6" name="Canal"/>
    <x:tableColumn id="7" name="Quantidade"/>
    <x:tableColumn id="8" name="Preço Unitário"/>
    <x:tableColumn id="9" name="Receita"/>
    <x:tableColumn id="10" name="Custo Unitário"/>
    <x:tableColumn id="11" name="Custo Total"/>
    <x:tableColumn id="12" name="Lucro"/>
    <x:tableColumn id="13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ResumoMensal" displayName="ResumoMensal" ref="D3:H15" headerRowCount="1">
  <x:tableColumns count="5">
    <x:tableColumn id="1" name="Mês"/>
    <x:tableColumn id="2" name="Receita"/>
    <x:tableColumn id="3" name="Lucro"/>
    <x:tableColumn id="4" name="Quantidade"/>
    <x:tableColumn id="5" name="Pedidos"/>
  </x:tableColumns>
  <x:tableStyleInfo name="TableStyleMedium2" showRowStripes="1"/>
</x:table>
</file>

<file path=xl/tables/table3.xml><?xml version="1.0" encoding="utf-8"?>
<x:table xmlns:x="http://schemas.openxmlformats.org/spreadsheetml/2006/main" id="3" name="ResumoProdutos" displayName="ResumoProdutos" ref="J3:N11" headerRowCount="1">
  <x:tableColumns count="5">
    <x:tableColumn id="1" name="Produto"/>
    <x:tableColumn id="2" name="Receita"/>
    <x:tableColumn id="3" name="Lucro"/>
    <x:tableColumn id="4" name="Quantidade"/>
    <x:tableColumn id="5" name="% Receita"/>
  </x:tableColumns>
  <x:tableStyleInfo name="TableStyleMedium2" showRowStripes="1"/>
</x:table>
</file>

<file path=xl/tables/table4.xml><?xml version="1.0" encoding="utf-8"?>
<x:table xmlns:x="http://schemas.openxmlformats.org/spreadsheetml/2006/main" id="4" name="ResumoRegioes" displayName="ResumoRegioes" ref="A18:D23" headerRowCount="1">
  <x:tableColumns count="4">
    <x:tableColumn id="1" name="Região"/>
    <x:tableColumn id="2" name="Receita"/>
    <x:tableColumn id="3" name="Lucro"/>
    <x:tableColumn id="4" name="Quantidade"/>
  </x:tableColumns>
  <x:tableStyleInfo name="TableStyleMedium2" showRowStripes="1"/>
</x:table>
</file>

<file path=xl/tables/table5.xml><?xml version="1.0" encoding="utf-8"?>
<x:table xmlns:x="http://schemas.openxmlformats.org/spreadsheetml/2006/main" id="5" name="ResumoCanais" displayName="ResumoCanais" ref="F18:I22" headerRowCount="1">
  <x:tableColumns count="4">
    <x:tableColumn id="1" name="Canal"/>
    <x:tableColumn id="2" name="Receita"/>
    <x:tableColumn id="3" name="Lucro"/>
    <x:tableColumn id="4" name="Pedidos"/>
  </x:tableColumns>
  <x:tableStyleInfo name="TableStyleMedium2" showRowStripes="1"/>
</x:table>
</file>

<file path=xl/tables/table6.xml><?xml version="1.0" encoding="utf-8"?>
<x:table xmlns:x="http://schemas.openxmlformats.org/spreadsheetml/2006/main" id="6" name="ResumoCategorias" displayName="ResumoCategorias" ref="K18:N22" headerRowCount="1">
  <x:tableColumns count="4">
    <x:tableColumn id="1" name="Categoria"/>
    <x:tableColumn id="2" name="Receita"/>
    <x:tableColumn id="3" name="Lucro"/>
    <x:tableColumn id="4" name="Quantida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21da82ec6044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2bb128a8934c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1eb5a7c1384689" /><Relationship Type="http://schemas.openxmlformats.org/officeDocument/2006/relationships/table" Target="/xl/tables/table3.xml" Id="Rce8382e45a044919" /><Relationship Type="http://schemas.openxmlformats.org/officeDocument/2006/relationships/table" Target="/xl/tables/table4.xml" Id="Rdfa0df1e7ae44bcc" /><Relationship Type="http://schemas.openxmlformats.org/officeDocument/2006/relationships/table" Target="/xl/tables/table5.xml" Id="R3993b43e12ea4e99" /><Relationship Type="http://schemas.openxmlformats.org/officeDocument/2006/relationships/table" Target="/xl/tables/table6.xml" Id="R9eaf993390b940b5" /></Relationships>
</file>

<file path=xl/worksheets/sheet1.xml><?xml version="1.0" encoding="utf-8"?>
<x:worksheet xmlns:x="http://schemas.openxmlformats.org/spreadsheetml/2006/main">
  <x:sheetFormatPr defaultRowHeight="15"/>
  <x:cols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1" max="1" width="16" hidden="0" customWidth="1"/>
    <x:col min="2" max="2" width="13" hidden="0" customWidth="1"/>
    <x:col min="3" max="3" width="13" hidden="0" customWidth="1"/>
    <x:col min="4" max="4" width="16" hidden="0" customWidth="1"/>
    <x:col min="5" max="5" width="13" hidden="0" customWidth="1"/>
    <x:col min="6" max="6" width="13" hidden="0" customWidth="1"/>
    <x:col min="7" max="7" width="16" hidden="0" customWidth="1"/>
    <x:col min="8" max="8" width="13" hidden="0" customWidth="1"/>
    <x:col min="9" max="9" width="13" hidden="0" customWidth="1"/>
    <x:col min="10" max="10" width="16" hidden="0" customWidth="1"/>
    <x:col min="11" max="11" width="13" hidden="0" customWidth="1"/>
    <x:col min="12" max="12" width="13" hidden="0" customWidth="1"/>
    <x:col min="13" max="13" width="16" hidden="0" customWidth="1"/>
    <x:col min="14" max="14" width="13" hidden="0" customWidth="1"/>
  </x:cols>
  <x:sheetData>
    <x:row r="1" ht="38" customHeight="1">
      <x:c r="A1" s="102" t="str">
        <x:v>Dashboard de Vendas do Xbox</x:v>
      </x:c>
      <x:c r="B1" s="103"/>
      <x:c r="C1" s="103"/>
      <x:c r="D1" s="103"/>
      <x:c r="E1" s="103"/>
      <x:c r="F1" s="103"/>
      <x:c r="G1" s="103"/>
      <x:c r="H1" s="103"/>
      <x:c r="I1" s="103"/>
      <x:c r="J1" s="103"/>
      <x:c r="K1" s="103"/>
      <x:c r="L1" s="103"/>
      <x:c r="M1" s="103"/>
      <x:c r="N1" s="103"/>
      <x:c r="P1" s="90" t="str">
        <x:v>Dados de Apoio do Dashboard</x:v>
      </x:c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 ht="24" customHeight="1">
      <x:c r="A2" s="104" t="str">
        <x:v>Análise de desempenho de vendas com dados fictícios | Projeto de Extensão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>
      <x:c r="A3" s="122"/>
      <x:c r="B3" s="122"/>
      <x:c r="C3" s="122"/>
      <x:c r="D3" s="122"/>
      <x:c r="E3" s="122"/>
      <x:c r="F3" s="122"/>
      <x:c r="G3" s="122"/>
      <x:c r="H3" s="122"/>
      <x:c r="I3" s="122"/>
      <x:c r="J3" s="122"/>
      <x:c r="K3" s="122"/>
      <x:c r="L3" s="122"/>
      <x:c r="M3" s="122"/>
      <x:c r="N3" s="122"/>
      <x:c r="P3" s="88" t="str">
        <x:v>Mês</x:v>
      </x:c>
      <x:c r="Q3" s="88" t="str">
        <x:v>Receita</x:v>
      </x:c>
      <x:c r="R3" s="88" t="str">
        <x:v>Lucro</x:v>
      </x:c>
      <x:c r="T3" t="str">
        <x:v>Produto</x:v>
      </x:c>
      <x:c r="U3" t="str">
        <x:v>Receita</x:v>
      </x:c>
    </x:row>
    <x:row r="4" ht="20" customHeight="1">
      <x:c r="A4" s="154" t="str">
        <x:v>Receita Total</x:v>
      </x:c>
      <x:c r="B4" s="105"/>
      <x:c r="C4" s="122"/>
      <x:c r="D4" s="154" t="str">
        <x:v>Lucro Total</x:v>
      </x:c>
      <x:c r="E4" s="105"/>
      <x:c r="F4" s="122"/>
      <x:c r="G4" s="154" t="str">
        <x:v>Qtd. Vendida</x:v>
      </x:c>
      <x:c r="H4" s="105"/>
      <x:c r="I4" s="122"/>
      <x:c r="J4" s="154" t="str">
        <x:v>Ticket Médio</x:v>
      </x:c>
      <x:c r="K4" s="105"/>
      <x:c r="L4" s="122"/>
      <x:c r="M4" s="154" t="str">
        <x:v>Margem Lucro</x:v>
      </x:c>
      <x:c r="N4" s="105"/>
      <x:c r="P4" s="88" t="str">
        <x:f>Resumo!D4</x:f>
        <x:v>Jan/2025</x:v>
      </x:c>
      <x:c r="Q4" s="88" t="n">
        <x:f>Resumo!E4</x:f>
        <x:v>49705</x:v>
      </x:c>
      <x:c r="R4" s="88" t="n">
        <x:f>Resumo!F4</x:f>
        <x:v>14672</x:v>
      </x:c>
      <x:c r="T4" t="str">
        <x:f>Resumo!J4</x:f>
        <x:v>Xbox Series X</x:v>
      </x:c>
      <x:c r="U4" t="n">
        <x:f>Resumo!K4</x:f>
        <x:v>279127</x:v>
      </x:c>
    </x:row>
    <x:row r="5" ht="25" customHeight="1">
      <x:c r="A5" s="165" t="str">
        <x:f>"R$ "&amp;TEXT(Resumo!B4,"#,##0.00")</x:f>
        <x:v>R$ 941,496.00</x:v>
      </x:c>
      <x:c r="B5" s="147"/>
      <x:c r="C5" s="122"/>
      <x:c r="D5" s="165" t="str">
        <x:f>"R$ "&amp;TEXT(Resumo!B5,"#,##0.00")</x:f>
        <x:v>R$ 281,910.00</x:v>
      </x:c>
      <x:c r="E5" s="147"/>
      <x:c r="F5" s="122"/>
      <x:c r="G5" s="166" t="str">
        <x:f>TEXT(Resumo!B6,"#,##0")</x:f>
        <x:v>2,895</x:v>
      </x:c>
      <x:c r="H5" s="147"/>
      <x:c r="I5" s="122"/>
      <x:c r="J5" s="165" t="str">
        <x:f>"R$ "&amp;TEXT(Resumo!B7,"#,##0.00")</x:f>
        <x:v>R$ 325.21</x:v>
      </x:c>
      <x:c r="K5" s="147"/>
      <x:c r="L5" s="122"/>
      <x:c r="M5" s="167" t="str">
        <x:f>TEXT(Resumo!B8,"0.0%")</x:f>
        <x:v>29.9%</x:v>
      </x:c>
      <x:c r="N5" s="147"/>
      <x:c r="P5" s="88" t="str">
        <x:f>Resumo!D5</x:f>
        <x:v>Fev/2025</x:v>
      </x:c>
      <x:c r="Q5" s="88" t="n">
        <x:f>Resumo!E5</x:f>
        <x:v>127039</x:v>
      </x:c>
      <x:c r="R5" s="88" t="n">
        <x:f>Resumo!F5</x:f>
        <x:v>36583</x:v>
      </x:c>
      <x:c r="T5" t="str">
        <x:f>Resumo!J5</x:f>
        <x:v>Xbox Series S</x:v>
      </x:c>
      <x:c r="U5" t="n">
        <x:f>Resumo!K5</x:f>
        <x:v>141901</x:v>
      </x:c>
    </x:row>
    <x:row r="6">
      <x:c r="A6" s="147"/>
      <x:c r="B6" s="147"/>
      <x:c r="C6" s="122"/>
      <x:c r="D6" s="147"/>
      <x:c r="E6" s="147"/>
      <x:c r="F6" s="122"/>
      <x:c r="G6" s="147"/>
      <x:c r="H6" s="147"/>
      <x:c r="I6" s="122"/>
      <x:c r="J6" s="147"/>
      <x:c r="K6" s="147"/>
      <x:c r="L6" s="122"/>
      <x:c r="M6" s="147"/>
      <x:c r="N6" s="147"/>
      <x:c r="P6" s="88" t="str">
        <x:f>Resumo!D6</x:f>
        <x:v>Mar/2025</x:v>
      </x:c>
      <x:c r="Q6" s="88" t="n">
        <x:f>Resumo!E6</x:f>
        <x:v>52312</x:v>
      </x:c>
      <x:c r="R6" s="88" t="n">
        <x:f>Resumo!F6</x:f>
        <x:v>16771</x:v>
      </x:c>
      <x:c r="T6" t="str">
        <x:f>Resumo!J6</x:f>
        <x:v>Xbox Game Pass Ultimate</x:v>
      </x:c>
      <x:c r="U6" t="n">
        <x:f>Resumo!K6</x:f>
        <x:v>41461</x:v>
      </x:c>
    </x:row>
    <x:row r="7">
      <x:c r="A7" s="122"/>
      <x:c r="B7" s="122"/>
      <x:c r="C7" s="122"/>
      <x:c r="D7" s="122"/>
      <x:c r="E7" s="122"/>
      <x:c r="F7" s="122"/>
      <x:c r="G7" s="122"/>
      <x:c r="H7" s="122"/>
      <x:c r="I7" s="122"/>
      <x:c r="J7" s="122"/>
      <x:c r="K7" s="122"/>
      <x:c r="L7" s="122"/>
      <x:c r="M7" s="122"/>
      <x:c r="N7" s="122"/>
      <x:c r="P7" s="88" t="str">
        <x:f>Resumo!D7</x:f>
        <x:v>Abr/2025</x:v>
      </x:c>
      <x:c r="Q7" s="88" t="n">
        <x:f>Resumo!E7</x:f>
        <x:v>53429</x:v>
      </x:c>
      <x:c r="R7" s="88" t="n">
        <x:f>Resumo!F7</x:f>
        <x:v>16366</x:v>
      </x:c>
      <x:c r="T7" t="str">
        <x:f>Resumo!J7</x:f>
        <x:v>Xbox Game Pass Core</x:v>
      </x:c>
      <x:c r="U7" t="n">
        <x:f>Resumo!K7</x:f>
        <x:v>31746</x:v>
      </x:c>
    </x:row>
    <x:row r="8" ht="22" customHeight="1">
      <x:c r="A8" s="109" t="str">
        <x:v>Receita e Lucro por Mês</x:v>
      </x:c>
      <x:c r="B8" s="122"/>
      <x:c r="C8" s="122"/>
      <x:c r="D8" s="122"/>
      <x:c r="E8" s="122"/>
      <x:c r="F8" s="122"/>
      <x:c r="G8" s="122"/>
      <x:c r="H8" s="122"/>
      <x:c r="I8" s="109" t="str">
        <x:v>Receita por Produto</x:v>
      </x:c>
      <x:c r="J8" s="122"/>
      <x:c r="K8" s="122"/>
      <x:c r="L8" s="122"/>
      <x:c r="M8" s="122"/>
      <x:c r="N8" s="122"/>
      <x:c r="P8" s="88" t="str">
        <x:f>Resumo!D8</x:f>
        <x:v>Mai/2025</x:v>
      </x:c>
      <x:c r="Q8" s="88" t="n">
        <x:f>Resumo!E8</x:f>
        <x:v>70454</x:v>
      </x:c>
      <x:c r="R8" s="88" t="n">
        <x:f>Resumo!F8</x:f>
        <x:v>23307</x:v>
      </x:c>
      <x:c r="T8" t="str">
        <x:f>Resumo!J8</x:f>
        <x:v>Controle Xbox Wireless</x:v>
      </x:c>
      <x:c r="U8" t="n">
        <x:f>Resumo!K8</x:f>
        <x:v>74970</x:v>
      </x:c>
    </x:row>
    <x:row r="9">
      <x:c r="A9" s="122"/>
      <x:c r="B9" s="122"/>
      <x:c r="C9" s="122"/>
      <x:c r="D9" s="122"/>
      <x:c r="E9" s="122"/>
      <x:c r="F9" s="122"/>
      <x:c r="G9" s="122"/>
      <x:c r="H9" s="122"/>
      <x:c r="I9" s="122"/>
      <x:c r="J9" s="122"/>
      <x:c r="K9" s="122"/>
      <x:c r="L9" s="122"/>
      <x:c r="M9" s="122"/>
      <x:c r="N9" s="122"/>
      <x:c r="P9" s="88" t="str">
        <x:f>Resumo!D9</x:f>
        <x:v>Jun/2025</x:v>
      </x:c>
      <x:c r="Q9" s="88" t="n">
        <x:f>Resumo!E9</x:f>
        <x:v>125849</x:v>
      </x:c>
      <x:c r="R9" s="88" t="n">
        <x:f>Resumo!F9</x:f>
        <x:v>34276</x:v>
      </x:c>
      <x:c r="T9" t="str">
        <x:f>Resumo!J9</x:f>
        <x:v>Headset Xbox</x:v>
      </x:c>
      <x:c r="U9" t="n">
        <x:f>Resumo!K9</x:f>
        <x:v>89964</x:v>
      </x:c>
    </x:row>
    <x:row r="10">
      <x:c r="A10" s="122"/>
      <x:c r="B10" s="122"/>
      <x:c r="C10" s="122"/>
      <x:c r="D10" s="122"/>
      <x:c r="E10" s="122"/>
      <x:c r="F10" s="122"/>
      <x:c r="G10" s="122"/>
      <x:c r="H10" s="122"/>
      <x:c r="I10" s="122"/>
      <x:c r="J10" s="122"/>
      <x:c r="K10" s="122"/>
      <x:c r="L10" s="122"/>
      <x:c r="M10" s="122"/>
      <x:c r="N10" s="122"/>
      <x:c r="P10" s="88" t="str">
        <x:f>Resumo!D10</x:f>
        <x:v>Jul/2025</x:v>
      </x:c>
      <x:c r="Q10" s="88" t="n">
        <x:f>Resumo!E10</x:f>
        <x:v>90197</x:v>
      </x:c>
      <x:c r="R10" s="88" t="n">
        <x:f>Resumo!F10</x:f>
        <x:v>29299</x:v>
      </x:c>
      <x:c r="T10" t="str">
        <x:f>Resumo!J10</x:f>
        <x:v>Gift Card Xbox</x:v>
      </x:c>
      <x:c r="U10" t="n">
        <x:f>Resumo!K10</x:f>
        <x:v>58580</x:v>
      </x:c>
    </x:row>
    <x:row r="11">
      <x:c r="A11" s="122"/>
      <x:c r="B11" s="122"/>
      <x:c r="C11" s="122"/>
      <x:c r="D11" s="122"/>
      <x:c r="E11" s="122"/>
      <x:c r="F11" s="122"/>
      <x:c r="G11" s="122"/>
      <x:c r="H11" s="122"/>
      <x:c r="I11" s="122"/>
      <x:c r="J11" s="122"/>
      <x:c r="K11" s="122"/>
      <x:c r="L11" s="122"/>
      <x:c r="M11" s="122"/>
      <x:c r="N11" s="122"/>
      <x:c r="P11" s="88" t="str">
        <x:f>Resumo!D11</x:f>
        <x:v>Ago/2025</x:v>
      </x:c>
      <x:c r="Q11" s="88" t="n">
        <x:f>Resumo!E11</x:f>
        <x:v>67718</x:v>
      </x:c>
      <x:c r="R11" s="88" t="n">
        <x:f>Resumo!F11</x:f>
        <x:v>21819</x:v>
      </x:c>
      <x:c r="T11" t="str">
        <x:f>Resumo!J11</x:f>
        <x:v>SSD Expansion Card</x:v>
      </x:c>
      <x:c r="U11" t="n">
        <x:f>Resumo!K11</x:f>
        <x:v>223747</x:v>
      </x:c>
    </x:row>
    <x:row r="12">
      <x:c r="A12" s="122"/>
      <x:c r="B12" s="122"/>
      <x:c r="C12" s="122"/>
      <x:c r="D12" s="122"/>
      <x:c r="E12" s="122"/>
      <x:c r="F12" s="122"/>
      <x:c r="G12" s="122"/>
      <x:c r="H12" s="122"/>
      <x:c r="I12" s="122"/>
      <x:c r="J12" s="122"/>
      <x:c r="K12" s="122"/>
      <x:c r="L12" s="122"/>
      <x:c r="M12" s="122"/>
      <x:c r="N12" s="122"/>
      <x:c r="P12" s="88" t="str">
        <x:f>Resumo!D12</x:f>
        <x:v>Set/2025</x:v>
      </x:c>
      <x:c r="Q12" s="88" t="n">
        <x:f>Resumo!E12</x:f>
        <x:v>42908</x:v>
      </x:c>
      <x:c r="R12" s="88" t="n">
        <x:f>Resumo!F12</x:f>
        <x:v>15604</x:v>
      </x:c>
    </x:row>
    <x:row r="13">
      <x:c r="A13" s="122"/>
      <x:c r="B13" s="122"/>
      <x:c r="C13" s="122"/>
      <x:c r="D13" s="122"/>
      <x:c r="E13" s="122"/>
      <x:c r="F13" s="122"/>
      <x:c r="G13" s="122"/>
      <x:c r="H13" s="122"/>
      <x:c r="I13" s="122"/>
      <x:c r="J13" s="122"/>
      <x:c r="K13" s="122"/>
      <x:c r="L13" s="122"/>
      <x:c r="M13" s="122"/>
      <x:c r="N13" s="122"/>
      <x:c r="P13" s="88" t="str">
        <x:f>Resumo!D13</x:f>
        <x:v>Out/2025</x:v>
      </x:c>
      <x:c r="Q13" s="88" t="n">
        <x:f>Resumo!E13</x:f>
        <x:v>143959</x:v>
      </x:c>
      <x:c r="R13" s="88" t="n">
        <x:f>Resumo!F13</x:f>
        <x:v>38415</x:v>
      </x:c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122"/>
      <x:c r="K14" s="122"/>
      <x:c r="L14" s="122"/>
      <x:c r="M14" s="122"/>
      <x:c r="N14" s="122"/>
      <x:c r="P14" s="88" t="str">
        <x:f>Resumo!D14</x:f>
        <x:v>Nov/2025</x:v>
      </x:c>
      <x:c r="Q14" s="88" t="n">
        <x:f>Resumo!E14</x:f>
        <x:v>75982</x:v>
      </x:c>
      <x:c r="R14" s="88" t="n">
        <x:f>Resumo!F14</x:f>
        <x:v>21295</x:v>
      </x:c>
    </x:row>
    <x:row r="15">
      <x:c r="A15" s="122"/>
      <x:c r="B15" s="122"/>
      <x:c r="C15" s="122"/>
      <x:c r="D15" s="122"/>
      <x:c r="E15" s="122"/>
      <x:c r="F15" s="122"/>
      <x:c r="G15" s="122"/>
      <x:c r="H15" s="122"/>
      <x:c r="I15" s="122"/>
      <x:c r="J15" s="122"/>
      <x:c r="K15" s="122"/>
      <x:c r="L15" s="122"/>
      <x:c r="M15" s="122"/>
      <x:c r="N15" s="122"/>
      <x:c r="P15" s="88" t="str">
        <x:f>Resumo!D15</x:f>
        <x:v>Dez/2025</x:v>
      </x:c>
      <x:c r="Q15" s="88" t="n">
        <x:f>Resumo!E15</x:f>
        <x:v>41944</x:v>
      </x:c>
      <x:c r="R15" s="88" t="n">
        <x:f>Resumo!F15</x:f>
        <x:v>13503</x:v>
      </x:c>
    </x:row>
    <x:row r="16">
      <x:c r="A16" s="122"/>
      <x:c r="B16" s="122"/>
      <x:c r="C16" s="122"/>
      <x:c r="D16" s="122"/>
      <x:c r="E16" s="122"/>
      <x:c r="F16" s="122"/>
      <x:c r="G16" s="122"/>
      <x:c r="H16" s="122"/>
      <x:c r="I16" s="122"/>
      <x:c r="J16" s="122"/>
      <x:c r="K16" s="122"/>
      <x:c r="L16" s="122"/>
      <x:c r="M16" s="122"/>
      <x:c r="N16" s="122"/>
    </x:row>
    <x:row r="17">
      <x:c r="A17" s="122"/>
      <x:c r="B17" s="122"/>
      <x:c r="C17" s="122"/>
      <x:c r="D17" s="122"/>
      <x:c r="E17" s="122"/>
      <x:c r="F17" s="122"/>
      <x:c r="G17" s="122"/>
      <x:c r="H17" s="122"/>
      <x:c r="I17" s="122"/>
      <x:c r="J17" s="122"/>
      <x:c r="K17" s="122"/>
      <x:c r="L17" s="122"/>
      <x:c r="M17" s="122"/>
      <x:c r="N17" s="122"/>
    </x:row>
    <x:row r="18">
      <x:c r="A18" s="122"/>
      <x:c r="B18" s="122"/>
      <x:c r="C18" s="122"/>
      <x:c r="D18" s="122"/>
      <x:c r="E18" s="122"/>
      <x:c r="F18" s="122"/>
      <x:c r="G18" s="122"/>
      <x:c r="H18" s="122"/>
      <x:c r="I18" s="122"/>
      <x:c r="J18" s="122"/>
      <x:c r="K18" s="122"/>
      <x:c r="L18" s="122"/>
      <x:c r="M18" s="122"/>
      <x:c r="N18" s="122"/>
      <x:c r="P18" t="str">
        <x:v>Região</x:v>
      </x:c>
      <x:c r="Q18" t="str">
        <x:v>Receita</x:v>
      </x:c>
      <x:c r="T18" t="str">
        <x:v>Canal</x:v>
      </x:c>
      <x:c r="U18" t="str">
        <x:v>Receita</x:v>
      </x:c>
    </x:row>
    <x:row r="19">
      <x:c r="A19" s="122"/>
      <x:c r="B19" s="122"/>
      <x:c r="C19" s="122"/>
      <x:c r="D19" s="122"/>
      <x:c r="E19" s="122"/>
      <x:c r="F19" s="122"/>
      <x:c r="G19" s="122"/>
      <x:c r="H19" s="122"/>
      <x:c r="I19" s="122"/>
      <x:c r="J19" s="122"/>
      <x:c r="K19" s="122"/>
      <x:c r="L19" s="122"/>
      <x:c r="M19" s="122"/>
      <x:c r="N19" s="122"/>
      <x:c r="P19" t="str">
        <x:f>Resumo!A19</x:f>
        <x:v>Sudeste</x:v>
      </x:c>
      <x:c r="Q19" t="n">
        <x:f>Resumo!B19</x:f>
        <x:v>174854</x:v>
      </x:c>
      <x:c r="T19" t="str">
        <x:f>Resumo!F19</x:f>
        <x:v>Loja Online</x:v>
      </x:c>
      <x:c r="U19" t="n">
        <x:f>Resumo!G19</x:f>
        <x:v>238308</x:v>
      </x:c>
    </x:row>
    <x:row r="20">
      <x:c r="A20" s="122"/>
      <x:c r="B20" s="122"/>
      <x:c r="C20" s="122"/>
      <x:c r="D20" s="122"/>
      <x:c r="E20" s="122"/>
      <x:c r="F20" s="122"/>
      <x:c r="G20" s="122"/>
      <x:c r="H20" s="122"/>
      <x:c r="I20" s="122"/>
      <x:c r="J20" s="122"/>
      <x:c r="K20" s="122"/>
      <x:c r="L20" s="122"/>
      <x:c r="M20" s="122"/>
      <x:c r="N20" s="122"/>
      <x:c r="P20" t="str">
        <x:f>Resumo!A20</x:f>
        <x:v>Sul</x:v>
      </x:c>
      <x:c r="Q20" t="n">
        <x:f>Resumo!B20</x:f>
        <x:v>211472</x:v>
      </x:c>
      <x:c r="T20" t="str">
        <x:f>Resumo!F20</x:f>
        <x:v>Marketplace</x:v>
      </x:c>
      <x:c r="U20" t="n">
        <x:f>Resumo!G20</x:f>
        <x:v>265849</x:v>
      </x:c>
    </x:row>
    <x:row r="21">
      <x:c r="A21" s="122"/>
      <x:c r="B21" s="122"/>
      <x:c r="C21" s="122"/>
      <x:c r="D21" s="122"/>
      <x:c r="E21" s="122"/>
      <x:c r="F21" s="122"/>
      <x:c r="G21" s="122"/>
      <x:c r="H21" s="122"/>
      <x:c r="I21" s="122"/>
      <x:c r="J21" s="122"/>
      <x:c r="K21" s="122"/>
      <x:c r="L21" s="122"/>
      <x:c r="M21" s="122"/>
      <x:c r="N21" s="122"/>
      <x:c r="P21" t="str">
        <x:f>Resumo!A21</x:f>
        <x:v>Nordeste</x:v>
      </x:c>
      <x:c r="Q21" t="n">
        <x:f>Resumo!B21</x:f>
        <x:v>147742</x:v>
      </x:c>
      <x:c r="T21" t="str">
        <x:f>Resumo!F21</x:f>
        <x:v>Loja Física</x:v>
      </x:c>
      <x:c r="U21" t="n">
        <x:f>Resumo!G21</x:f>
        <x:v>183050</x:v>
      </x:c>
    </x:row>
    <x:row r="22">
      <x:c r="A22" s="122"/>
      <x:c r="B22" s="122"/>
      <x:c r="C22" s="122"/>
      <x:c r="D22" s="122"/>
      <x:c r="E22" s="122"/>
      <x:c r="F22" s="122"/>
      <x:c r="G22" s="122"/>
      <x:c r="H22" s="122"/>
      <x:c r="I22" s="122"/>
      <x:c r="J22" s="122"/>
      <x:c r="K22" s="122"/>
      <x:c r="L22" s="122"/>
      <x:c r="M22" s="122"/>
      <x:c r="N22" s="122"/>
      <x:c r="P22" t="str">
        <x:f>Resumo!A22</x:f>
        <x:v>Centro-Oeste</x:v>
      </x:c>
      <x:c r="Q22" t="n">
        <x:f>Resumo!B22</x:f>
        <x:v>258054</x:v>
      </x:c>
      <x:c r="T22" t="str">
        <x:f>Resumo!F22</x:f>
        <x:v>Parceiro</x:v>
      </x:c>
      <x:c r="U22" t="n">
        <x:f>Resumo!G22</x:f>
        <x:v>254289</x:v>
      </x:c>
    </x:row>
    <x:row r="23">
      <x:c r="A23" s="122"/>
      <x:c r="B23" s="122"/>
      <x:c r="C23" s="122"/>
      <x:c r="D23" s="122"/>
      <x:c r="E23" s="122"/>
      <x:c r="F23" s="122"/>
      <x:c r="G23" s="122"/>
      <x:c r="H23" s="122"/>
      <x:c r="I23" s="122"/>
      <x:c r="J23" s="122"/>
      <x:c r="K23" s="122"/>
      <x:c r="L23" s="122"/>
      <x:c r="M23" s="122"/>
      <x:c r="N23" s="122"/>
      <x:c r="P23" t="str">
        <x:f>Resumo!A23</x:f>
        <x:v>Norte</x:v>
      </x:c>
      <x:c r="Q23" t="n">
        <x:f>Resumo!B23</x:f>
        <x:v>149374</x:v>
      </x:c>
    </x:row>
    <x:row r="24">
      <x:c r="A24" s="122"/>
      <x:c r="B24" s="122"/>
      <x:c r="C24" s="122"/>
      <x:c r="D24" s="122"/>
      <x:c r="E24" s="122"/>
      <x:c r="F24" s="122"/>
      <x:c r="G24" s="122"/>
      <x:c r="H24" s="122"/>
      <x:c r="I24" s="122"/>
      <x:c r="J24" s="122"/>
      <x:c r="K24" s="122"/>
      <x:c r="L24" s="122"/>
      <x:c r="M24" s="122"/>
      <x:c r="N24" s="122"/>
    </x:row>
    <x:row r="25" ht="22" customHeight="1">
      <x:c r="A25" s="109" t="str">
        <x:v>Receita por Região</x:v>
      </x:c>
      <x:c r="B25" s="122"/>
      <x:c r="C25" s="122"/>
      <x:c r="D25" s="122"/>
      <x:c r="E25" s="122"/>
      <x:c r="F25" s="122"/>
      <x:c r="G25" s="122"/>
      <x:c r="H25" s="122"/>
      <x:c r="I25" s="109" t="str">
        <x:v>Receita por Canal</x:v>
      </x:c>
      <x:c r="J25" s="122"/>
      <x:c r="K25" s="122"/>
      <x:c r="L25" s="122"/>
      <x:c r="M25" s="122"/>
      <x:c r="N25" s="122"/>
    </x:row>
    <x:row r="26">
      <x:c r="A26" s="122"/>
      <x:c r="B26" s="122"/>
      <x:c r="C26" s="122"/>
      <x:c r="D26" s="122"/>
      <x:c r="E26" s="122"/>
      <x:c r="F26" s="122"/>
      <x:c r="G26" s="122"/>
      <x:c r="H26" s="122"/>
      <x:c r="I26" s="122"/>
      <x:c r="J26" s="122"/>
      <x:c r="K26" s="122"/>
      <x:c r="L26" s="122"/>
      <x:c r="M26" s="122"/>
      <x:c r="N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  <x:c r="I27" s="122"/>
      <x:c r="J27" s="122"/>
      <x:c r="K27" s="122"/>
      <x:c r="L27" s="122"/>
      <x:c r="M27" s="122"/>
      <x:c r="N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  <x:c r="I28" s="122"/>
      <x:c r="J28" s="122"/>
      <x:c r="K28" s="122"/>
      <x:c r="L28" s="122"/>
      <x:c r="M28" s="122"/>
      <x:c r="N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  <x:c r="I29" s="122"/>
      <x:c r="J29" s="122"/>
      <x:c r="K29" s="122"/>
      <x:c r="L29" s="122"/>
      <x:c r="M29" s="122"/>
      <x:c r="N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  <x:c r="I30" s="122"/>
      <x:c r="J30" s="122"/>
      <x:c r="K30" s="122"/>
      <x:c r="L30" s="122"/>
      <x:c r="M30" s="122"/>
      <x:c r="N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  <x:c r="M31" s="122"/>
      <x:c r="N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  <x:c r="I32" s="122"/>
      <x:c r="J32" s="122"/>
      <x:c r="K32" s="122"/>
      <x:c r="L32" s="122"/>
      <x:c r="M32" s="122"/>
      <x:c r="N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  <x:c r="I33" s="122"/>
      <x:c r="J33" s="122"/>
      <x:c r="K33" s="122"/>
      <x:c r="L33" s="122"/>
      <x:c r="M33" s="122"/>
      <x:c r="N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  <x:c r="I34" s="122"/>
      <x:c r="J34" s="122"/>
      <x:c r="K34" s="122"/>
      <x:c r="L34" s="122"/>
      <x:c r="M34" s="122"/>
      <x:c r="N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  <x:c r="I35" s="122"/>
      <x:c r="J35" s="122"/>
      <x:c r="K35" s="122"/>
      <x:c r="L35" s="122"/>
      <x:c r="M35" s="122"/>
      <x:c r="N35" s="122"/>
    </x:row>
    <x:row r="36">
      <x:c r="A36" s="122"/>
      <x:c r="B36" s="122"/>
      <x:c r="C36" s="122"/>
      <x:c r="D36" s="122"/>
      <x:c r="E36" s="122"/>
      <x:c r="F36" s="122"/>
      <x:c r="G36" s="122"/>
      <x:c r="H36" s="122"/>
      <x:c r="I36" s="122"/>
      <x:c r="J36" s="122"/>
      <x:c r="K36" s="122"/>
      <x:c r="L36" s="122"/>
      <x:c r="M36" s="122"/>
      <x:c r="N36" s="122"/>
    </x:row>
    <x:row r="37">
      <x:c r="A37" s="122"/>
      <x:c r="B37" s="122"/>
      <x:c r="C37" s="122"/>
      <x:c r="D37" s="122"/>
      <x:c r="E37" s="122"/>
      <x:c r="F37" s="122"/>
      <x:c r="G37" s="122"/>
      <x:c r="H37" s="122"/>
      <x:c r="I37" s="122"/>
      <x:c r="J37" s="122"/>
      <x:c r="K37" s="122"/>
      <x:c r="L37" s="122"/>
      <x:c r="M37" s="122"/>
      <x:c r="N37" s="122"/>
    </x:row>
    <x:row r="38">
      <x:c r="A38" s="122"/>
      <x:c r="B38" s="122"/>
      <x:c r="C38" s="122"/>
      <x:c r="D38" s="122"/>
      <x:c r="E38" s="122"/>
      <x:c r="F38" s="122"/>
      <x:c r="G38" s="122"/>
      <x:c r="H38" s="122"/>
      <x:c r="I38" s="122"/>
      <x:c r="J38" s="122"/>
      <x:c r="K38" s="122"/>
      <x:c r="L38" s="122"/>
      <x:c r="M38" s="122"/>
      <x:c r="N38" s="122"/>
    </x:row>
    <x:row r="39">
      <x:c r="A39" s="122"/>
      <x:c r="B39" s="122"/>
      <x:c r="C39" s="122"/>
      <x:c r="D39" s="122"/>
      <x:c r="E39" s="122"/>
      <x:c r="F39" s="122"/>
      <x:c r="G39" s="122"/>
      <x:c r="H39" s="122"/>
      <x:c r="I39" s="122"/>
      <x:c r="J39" s="122"/>
      <x:c r="K39" s="122"/>
      <x:c r="L39" s="122"/>
      <x:c r="M39" s="122"/>
      <x:c r="N39" s="122"/>
    </x:row>
    <x:row r="40">
      <x:c r="A40" s="122"/>
      <x:c r="B40" s="122"/>
      <x:c r="C40" s="122"/>
      <x:c r="D40" s="122"/>
      <x:c r="E40" s="122"/>
      <x:c r="F40" s="122"/>
      <x:c r="G40" s="122"/>
      <x:c r="H40" s="122"/>
      <x:c r="I40" s="122"/>
      <x:c r="J40" s="122"/>
      <x:c r="K40" s="122"/>
      <x:c r="L40" s="122"/>
      <x:c r="M40" s="122"/>
      <x:c r="N40" s="122"/>
    </x:row>
    <x:row r="41">
      <x:c r="A41" s="122"/>
      <x:c r="B41" s="122"/>
      <x:c r="C41" s="122"/>
      <x:c r="D41" s="122"/>
      <x:c r="E41" s="122"/>
      <x:c r="F41" s="122"/>
      <x:c r="G41" s="122"/>
      <x:c r="H41" s="122"/>
      <x:c r="I41" s="122"/>
      <x:c r="J41" s="122"/>
      <x:c r="K41" s="122"/>
      <x:c r="L41" s="122"/>
      <x:c r="M41" s="122"/>
      <x:c r="N41" s="122"/>
    </x:row>
    <x:row r="42">
      <x:c r="A42" s="110" t="str">
        <x:v>Leituras rápidas</x:v>
      </x:c>
      <x:c r="B42" s="122"/>
      <x:c r="C42" s="122"/>
      <x:c r="D42" s="122"/>
      <x:c r="E42" s="122"/>
      <x:c r="F42" s="122"/>
      <x:c r="G42" s="122"/>
      <x:c r="H42" s="122"/>
      <x:c r="I42" s="122"/>
      <x:c r="J42" s="122"/>
      <x:c r="K42" s="122"/>
      <x:c r="L42" s="122"/>
      <x:c r="M42" s="122"/>
      <x:c r="N42" s="122"/>
    </x:row>
    <x:row r="43">
      <x:c r="A43" s="111" t="str">
        <x:f>CONCAT("Produto com maior receita: ",INDEX(Resumo!J4:J11,MATCH(MAX(Resumo!K4:K11),Resumo!K4:K11,0))," | Região com maior receita: ",INDEX(Resumo!A19:A23,MATCH(MAX(Resumo!B19:B23),Resumo!B19:B23,0))," | Canal líder: ",INDEX(Resumo!F19:F22,MATCH(MAX(Resumo!G19:G22),Resumo!G19:G22,0)))</x:f>
        <x:v>Produto com maior receita: Xbox Series X | Região com maior receita: Centro-Oeste | Canal líder: Marketplace</x:v>
      </x:c>
      <x:c r="B43" s="122"/>
      <x:c r="C43" s="122"/>
      <x:c r="D43" s="122"/>
      <x:c r="E43" s="122"/>
      <x:c r="F43" s="122"/>
      <x:c r="G43" s="122"/>
      <x:c r="H43" s="122"/>
      <x:c r="I43" s="122"/>
      <x:c r="J43" s="122"/>
      <x:c r="K43" s="122"/>
      <x:c r="L43" s="122"/>
      <x:c r="M43" s="122"/>
      <x:c r="N43" s="122"/>
    </x:row>
    <x:row r="44">
      <x:c r="A44" s="122"/>
      <x:c r="B44" s="122"/>
      <x:c r="C44" s="122"/>
      <x:c r="D44" s="122"/>
      <x:c r="E44" s="122"/>
      <x:c r="F44" s="122"/>
      <x:c r="G44" s="122"/>
      <x:c r="H44" s="122"/>
      <x:c r="I44" s="122"/>
      <x:c r="J44" s="122"/>
      <x:c r="K44" s="122"/>
      <x:c r="L44" s="122"/>
      <x:c r="M44" s="122"/>
      <x:c r="N44" s="122"/>
    </x:row>
    <x:row r="45">
      <x:c r="A45" s="122"/>
      <x:c r="B45" s="122"/>
      <x:c r="C45" s="122"/>
      <x:c r="D45" s="122"/>
      <x:c r="E45" s="122"/>
      <x:c r="F45" s="122"/>
      <x:c r="G45" s="122"/>
      <x:c r="H45" s="122"/>
      <x:c r="I45" s="122"/>
      <x:c r="J45" s="122"/>
      <x:c r="K45" s="122"/>
      <x:c r="L45" s="122"/>
      <x:c r="M45" s="122"/>
      <x:c r="N45" s="122"/>
    </x:row>
    <x:row r="46">
      <x:c r="A46" s="122"/>
      <x:c r="B46" s="122"/>
      <x:c r="C46" s="122"/>
      <x:c r="D46" s="122"/>
      <x:c r="E46" s="122"/>
      <x:c r="F46" s="122"/>
      <x:c r="G46" s="122"/>
      <x:c r="H46" s="122"/>
      <x:c r="I46" s="122"/>
      <x:c r="J46" s="122"/>
      <x:c r="K46" s="122"/>
      <x:c r="L46" s="122"/>
      <x:c r="M46" s="122"/>
      <x:c r="N46" s="122"/>
    </x:row>
  </x:sheetData>
  <x:mergeCells>
    <x:mergeCell ref="A1:N1"/>
    <x:mergeCell ref="A2:N2"/>
    <x:mergeCell ref="A8:G8"/>
    <x:mergeCell ref="I8:N8"/>
    <x:mergeCell ref="A25:G25"/>
    <x:mergeCell ref="I25:N25"/>
    <x:mergeCell ref="A42:N42"/>
    <x:mergeCell ref="A43:N46"/>
    <x:mergeCell ref="A4:B4"/>
    <x:mergeCell ref="A5:B6"/>
    <x:mergeCell ref="D4:E4"/>
    <x:mergeCell ref="D5:E6"/>
    <x:mergeCell ref="G4:H4"/>
    <x:mergeCell ref="G5:H6"/>
    <x:mergeCell ref="J4:K4"/>
    <x:mergeCell ref="J5:K6"/>
    <x:mergeCell ref="M4:N4"/>
    <x:mergeCell ref="M5:N6"/>
  </x:mergeCells>
  <x:pageMargins left="0.7" right="0.7" top="0.75" bottom="0.75" header="0.3" footer="0.3"/>
  <x:drawing xmlns:r="http://schemas.openxmlformats.org/officeDocument/2006/relationships" r:id="R0f21da82ec6044da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15" hidden="0" customWidth="1"/>
    <x:col min="5" max="5" width="16" hidden="0" customWidth="1"/>
    <x:col min="6" max="6" width="16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3" hidden="0" customWidth="1"/>
  </x:cols>
  <x:sheetData>
    <x:row r="1" ht="22" customHeight="1">
      <x:c r="A1" s="26" t="str">
        <x:v>ID Venda</x:v>
      </x:c>
      <x:c r="B1" s="26" t="str">
        <x:v>Data</x:v>
      </x:c>
      <x:c r="C1" s="26" t="str">
        <x:v>Produto</x:v>
      </x:c>
      <x:c r="D1" s="26" t="str">
        <x:v>Categoria</x:v>
      </x:c>
      <x:c r="E1" s="26" t="str">
        <x:v>Região</x:v>
      </x:c>
      <x:c r="F1" s="26" t="str">
        <x:v>Canal</x:v>
      </x:c>
      <x:c r="G1" s="26" t="str">
        <x:v>Quantidade</x:v>
      </x:c>
      <x:c r="H1" s="26" t="str">
        <x:v>Preço Unitário</x:v>
      </x:c>
      <x:c r="I1" s="26" t="str">
        <x:v>Receita</x:v>
      </x:c>
      <x:c r="J1" s="26" t="str">
        <x:v>Custo Unitário</x:v>
      </x:c>
      <x:c r="K1" s="26" t="str">
        <x:v>Custo Total</x:v>
      </x:c>
      <x:c r="L1" s="26" t="str">
        <x:v>Lucro</x:v>
      </x:c>
      <x:c r="M1" s="26" t="str">
        <x:v>Status</x:v>
      </x:c>
    </x:row>
    <x:row r="2">
      <x:c r="A2" s="27" t="n">
        <x:v>1</x:v>
      </x:c>
      <x:c r="B2" s="30" t="n">
        <x:v>45670</x:v>
      </x:c>
      <x:c r="C2" s="27" t="str">
        <x:v>Xbox Series S</x:v>
      </x:c>
      <x:c r="D2" s="27" t="str">
        <x:v>Console</x:v>
      </x:c>
      <x:c r="E2" s="27" t="str">
        <x:v>Nordeste</x:v>
      </x:c>
      <x:c r="F2" s="27" t="str">
        <x:v>Marketplace</x:v>
      </x:c>
      <x:c r="G2" s="34" t="n">
        <x:v>6</x:v>
      </x:c>
      <x:c r="H2" s="32" t="n">
        <x:v>2159</x:v>
      </x:c>
      <x:c r="I2" s="32" t="n">
        <x:f>G2*H2</x:f>
        <x:v>12954</x:v>
      </x:c>
      <x:c r="J2" s="32" t="n">
        <x:v>1836</x:v>
      </x:c>
      <x:c r="K2" s="32" t="n">
        <x:f>G2*J2</x:f>
        <x:v>11016</x:v>
      </x:c>
      <x:c r="L2" s="32" t="n">
        <x:f>I2-K2</x:f>
        <x:v>1938</x:v>
      </x:c>
      <x:c r="M2" s="27" t="str">
        <x:v>Concluída</x:v>
      </x:c>
    </x:row>
    <x:row r="3">
      <x:c r="A3" s="27" t="n">
        <x:v>2</x:v>
      </x:c>
      <x:c r="B3" s="30" t="n">
        <x:v>45960</x:v>
      </x:c>
      <x:c r="C3" s="27" t="str">
        <x:v>Xbox Series S</x:v>
      </x:c>
      <x:c r="D3" s="27" t="str">
        <x:v>Console</x:v>
      </x:c>
      <x:c r="E3" s="27" t="str">
        <x:v>Centro-Oeste</x:v>
      </x:c>
      <x:c r="F3" s="27" t="str">
        <x:v>Loja Online</x:v>
      </x:c>
      <x:c r="G3" s="34" t="n">
        <x:v>2</x:v>
      </x:c>
      <x:c r="H3" s="32" t="n">
        <x:v>2279</x:v>
      </x:c>
      <x:c r="I3" s="32" t="n">
        <x:f>G3*H3</x:f>
        <x:v>4558</x:v>
      </x:c>
      <x:c r="J3" s="32" t="n">
        <x:v>1836</x:v>
      </x:c>
      <x:c r="K3" s="32" t="n">
        <x:f>G3*J3</x:f>
        <x:v>3672</x:v>
      </x:c>
      <x:c r="L3" s="32" t="n">
        <x:f>I3-K3</x:f>
        <x:v>886</x:v>
      </x:c>
      <x:c r="M3" s="27" t="str">
        <x:v>Concluída</x:v>
      </x:c>
    </x:row>
    <x:row r="4">
      <x:c r="A4" s="27" t="n">
        <x:v>3</x:v>
      </x:c>
      <x:c r="B4" s="30" t="n">
        <x:v>45945</x:v>
      </x:c>
      <x:c r="C4" s="27" t="str">
        <x:v>Xbox Series X</x:v>
      </x:c>
      <x:c r="D4" s="27" t="str">
        <x:v>Console</x:v>
      </x:c>
      <x:c r="E4" s="27" t="str">
        <x:v>Sul</x:v>
      </x:c>
      <x:c r="F4" s="27" t="str">
        <x:v>Parceiro</x:v>
      </x:c>
      <x:c r="G4" s="34" t="n">
        <x:v>5</x:v>
      </x:c>
      <x:c r="H4" s="32" t="n">
        <x:v>3999</x:v>
      </x:c>
      <x:c r="I4" s="32" t="n">
        <x:f>G4*H4</x:f>
        <x:v>19995</x:v>
      </x:c>
      <x:c r="J4" s="32" t="n">
        <x:v>2989</x:v>
      </x:c>
      <x:c r="K4" s="32" t="n">
        <x:f>G4*J4</x:f>
        <x:v>14945</x:v>
      </x:c>
      <x:c r="L4" s="32" t="n">
        <x:f>I4-K4</x:f>
        <x:v>5050</x:v>
      </x:c>
      <x:c r="M4" s="27" t="str">
        <x:v>Concluída</x:v>
      </x:c>
    </x:row>
    <x:row r="5">
      <x:c r="A5" s="27" t="n">
        <x:v>4</x:v>
      </x:c>
      <x:c r="B5" s="30" t="n">
        <x:v>46015</x:v>
      </x:c>
      <x:c r="C5" s="27" t="str">
        <x:v>Xbox Game Pass Ultimate</x:v>
      </x:c>
      <x:c r="D5" s="27" t="str">
        <x:v>Assinatura</x:v>
      </x:c>
      <x:c r="E5" s="27" t="str">
        <x:v>Centro-Oeste</x:v>
      </x:c>
      <x:c r="F5" s="27" t="str">
        <x:v>Loja Física</x:v>
      </x:c>
      <x:c r="G5" s="34" t="n">
        <x:v>32</x:v>
      </x:c>
      <x:c r="H5" s="32" t="n">
        <x:v>59</x:v>
      </x:c>
      <x:c r="I5" s="32" t="n">
        <x:f>G5*H5</x:f>
        <x:v>1888</x:v>
      </x:c>
      <x:c r="J5" s="32" t="n">
        <x:v>24</x:v>
      </x:c>
      <x:c r="K5" s="32" t="n">
        <x:f>G5*J5</x:f>
        <x:v>768</x:v>
      </x:c>
      <x:c r="L5" s="32" t="n">
        <x:f>I5-K5</x:f>
        <x:v>1120</x:v>
      </x:c>
      <x:c r="M5" s="27" t="str">
        <x:v>Concluída</x:v>
      </x:c>
    </x:row>
    <x:row r="6">
      <x:c r="A6" s="27" t="n">
        <x:v>5</x:v>
      </x:c>
      <x:c r="B6" s="30" t="n">
        <x:v>45852</x:v>
      </x:c>
      <x:c r="C6" s="27" t="str">
        <x:v>Xbox Series S</x:v>
      </x:c>
      <x:c r="D6" s="27" t="str">
        <x:v>Console</x:v>
      </x:c>
      <x:c r="E6" s="27" t="str">
        <x:v>Sudeste</x:v>
      </x:c>
      <x:c r="F6" s="27" t="str">
        <x:v>Loja Física</x:v>
      </x:c>
      <x:c r="G6" s="34" t="n">
        <x:v>5</x:v>
      </x:c>
      <x:c r="H6" s="32" t="n">
        <x:v>2399</x:v>
      </x:c>
      <x:c r="I6" s="32" t="n">
        <x:f>G6*H6</x:f>
        <x:v>11995</x:v>
      </x:c>
      <x:c r="J6" s="32" t="n">
        <x:v>1764</x:v>
      </x:c>
      <x:c r="K6" s="32" t="n">
        <x:f>G6*J6</x:f>
        <x:v>8820</x:v>
      </x:c>
      <x:c r="L6" s="32" t="n">
        <x:f>I6-K6</x:f>
        <x:v>3175</x:v>
      </x:c>
      <x:c r="M6" s="27" t="str">
        <x:v>Concluída</x:v>
      </x:c>
    </x:row>
    <x:row r="7">
      <x:c r="A7" s="27" t="n">
        <x:v>6</x:v>
      </x:c>
      <x:c r="B7" s="30" t="n">
        <x:v>45932</x:v>
      </x:c>
      <x:c r="C7" s="27" t="str">
        <x:v>SSD Expansion Card</x:v>
      </x:c>
      <x:c r="D7" s="27" t="str">
        <x:v>Acessório</x:v>
      </x:c>
      <x:c r="E7" s="27" t="str">
        <x:v>Sudeste</x:v>
      </x:c>
      <x:c r="F7" s="27" t="str">
        <x:v>Parceiro</x:v>
      </x:c>
      <x:c r="G7" s="34" t="n">
        <x:v>10</x:v>
      </x:c>
      <x:c r="H7" s="32" t="n">
        <x:v>1299</x:v>
      </x:c>
      <x:c r="I7" s="32" t="n">
        <x:f>G7*H7</x:f>
        <x:v>12990</x:v>
      </x:c>
      <x:c r="J7" s="32" t="n">
        <x:v>918</x:v>
      </x:c>
      <x:c r="K7" s="32" t="n">
        <x:f>G7*J7</x:f>
        <x:v>9180</x:v>
      </x:c>
      <x:c r="L7" s="32" t="n">
        <x:f>I7-K7</x:f>
        <x:v>3810</x:v>
      </x:c>
      <x:c r="M7" s="27" t="str">
        <x:v>Concluída</x:v>
      </x:c>
    </x:row>
    <x:row r="8">
      <x:c r="A8" s="27" t="n">
        <x:v>7</x:v>
      </x:c>
      <x:c r="B8" s="30" t="n">
        <x:v>46018</x:v>
      </x:c>
      <x:c r="C8" s="27" t="str">
        <x:v>Xbox Game Pass Core</x:v>
      </x:c>
      <x:c r="D8" s="27" t="str">
        <x:v>Assinatura</x:v>
      </x:c>
      <x:c r="E8" s="27" t="str">
        <x:v>Sudeste</x:v>
      </x:c>
      <x:c r="F8" s="27" t="str">
        <x:v>Loja Online</x:v>
      </x:c>
      <x:c r="G8" s="34" t="n">
        <x:v>42</x:v>
      </x:c>
      <x:c r="H8" s="32" t="n">
        <x:v>31</x:v>
      </x:c>
      <x:c r="I8" s="32" t="n">
        <x:f>G8*H8</x:f>
        <x:v>1302</x:v>
      </x:c>
      <x:c r="J8" s="32" t="n">
        <x:v>15</x:v>
      </x:c>
      <x:c r="K8" s="32" t="n">
        <x:f>G8*J8</x:f>
        <x:v>630</x:v>
      </x:c>
      <x:c r="L8" s="32" t="n">
        <x:f>I8-K8</x:f>
        <x:v>672</x:v>
      </x:c>
      <x:c r="M8" s="27" t="str">
        <x:v>Concluída</x:v>
      </x:c>
    </x:row>
    <x:row r="9">
      <x:c r="A9" s="27" t="n">
        <x:v>8</x:v>
      </x:c>
      <x:c r="B9" s="30" t="n">
        <x:v>45852</x:v>
      </x:c>
      <x:c r="C9" s="27" t="str">
        <x:v>Xbox Series S</x:v>
      </x:c>
      <x:c r="D9" s="27" t="str">
        <x:v>Console</x:v>
      </x:c>
      <x:c r="E9" s="27" t="str">
        <x:v>Nordeste</x:v>
      </x:c>
      <x:c r="F9" s="27" t="str">
        <x:v>Parceiro</x:v>
      </x:c>
      <x:c r="G9" s="34" t="n">
        <x:v>3</x:v>
      </x:c>
      <x:c r="H9" s="32" t="n">
        <x:v>2279</x:v>
      </x:c>
      <x:c r="I9" s="32" t="n">
        <x:f>G9*H9</x:f>
        <x:v>6837</x:v>
      </x:c>
      <x:c r="J9" s="32" t="n">
        <x:v>1800</x:v>
      </x:c>
      <x:c r="K9" s="32" t="n">
        <x:f>G9*J9</x:f>
        <x:v>5400</x:v>
      </x:c>
      <x:c r="L9" s="32" t="n">
        <x:f>I9-K9</x:f>
        <x:v>1437</x:v>
      </x:c>
      <x:c r="M9" s="27" t="str">
        <x:v>Concluída</x:v>
      </x:c>
    </x:row>
    <x:row r="10">
      <x:c r="A10" s="27" t="n">
        <x:v>9</x:v>
      </x:c>
      <x:c r="B10" s="30" t="n">
        <x:v>45765</x:v>
      </x:c>
      <x:c r="C10" s="27" t="str">
        <x:v>Headset Xbox</x:v>
      </x:c>
      <x:c r="D10" s="27" t="str">
        <x:v>Acessório</x:v>
      </x:c>
      <x:c r="E10" s="27" t="str">
        <x:v>Nordeste</x:v>
      </x:c>
      <x:c r="F10" s="27" t="str">
        <x:v>Loja Online</x:v>
      </x:c>
      <x:c r="G10" s="34" t="n">
        <x:v>6</x:v>
      </x:c>
      <x:c r="H10" s="32" t="n">
        <x:v>569</x:v>
      </x:c>
      <x:c r="I10" s="32" t="n">
        <x:f>G10*H10</x:f>
        <x:v>3414</x:v>
      </x:c>
      <x:c r="J10" s="32" t="n">
        <x:v>343</x:v>
      </x:c>
      <x:c r="K10" s="32" t="n">
        <x:f>G10*J10</x:f>
        <x:v>2058</x:v>
      </x:c>
      <x:c r="L10" s="32" t="n">
        <x:f>I10-K10</x:f>
        <x:v>1356</x:v>
      </x:c>
      <x:c r="M10" s="27" t="str">
        <x:v>Concluída</x:v>
      </x:c>
    </x:row>
    <x:row r="11">
      <x:c r="A11" s="27" t="n">
        <x:v>10</x:v>
      </x:c>
      <x:c r="B11" s="30" t="n">
        <x:v>45852</x:v>
      </x:c>
      <x:c r="C11" s="27" t="str">
        <x:v>SSD Expansion Card</x:v>
      </x:c>
      <x:c r="D11" s="27" t="str">
        <x:v>Acessório</x:v>
      </x:c>
      <x:c r="E11" s="27" t="str">
        <x:v>Nordeste</x:v>
      </x:c>
      <x:c r="F11" s="27" t="str">
        <x:v>Marketplace</x:v>
      </x:c>
      <x:c r="G11" s="34" t="n">
        <x:v>2</x:v>
      </x:c>
      <x:c r="H11" s="32" t="n">
        <x:v>1234</x:v>
      </x:c>
      <x:c r="I11" s="32" t="n">
        <x:f>G11*H11</x:f>
        <x:v>2468</x:v>
      </x:c>
      <x:c r="J11" s="32" t="n">
        <x:v>882</x:v>
      </x:c>
      <x:c r="K11" s="32" t="n">
        <x:f>G11*J11</x:f>
        <x:v>1764</x:v>
      </x:c>
      <x:c r="L11" s="32" t="n">
        <x:f>I11-K11</x:f>
        <x:v>704</x:v>
      </x:c>
      <x:c r="M11" s="27" t="str">
        <x:v>Concluída</x:v>
      </x:c>
    </x:row>
    <x:row r="12">
      <x:c r="A12" s="27" t="n">
        <x:v>11</x:v>
      </x:c>
      <x:c r="B12" s="30" t="n">
        <x:v>45863</x:v>
      </x:c>
      <x:c r="C12" s="27" t="str">
        <x:v>Headset Xbox</x:v>
      </x:c>
      <x:c r="D12" s="27" t="str">
        <x:v>Acessório</x:v>
      </x:c>
      <x:c r="E12" s="27" t="str">
        <x:v>Nordeste</x:v>
      </x:c>
      <x:c r="F12" s="27" t="str">
        <x:v>Loja Online</x:v>
      </x:c>
      <x:c r="G12" s="34" t="n">
        <x:v>11</x:v>
      </x:c>
      <x:c r="H12" s="32" t="n">
        <x:v>569</x:v>
      </x:c>
      <x:c r="I12" s="32" t="n">
        <x:f>G12*H12</x:f>
        <x:v>6259</x:v>
      </x:c>
      <x:c r="J12" s="32" t="n">
        <x:v>357</x:v>
      </x:c>
      <x:c r="K12" s="32" t="n">
        <x:f>G12*J12</x:f>
        <x:v>3927</x:v>
      </x:c>
      <x:c r="L12" s="32" t="n">
        <x:f>I12-K12</x:f>
        <x:v>2332</x:v>
      </x:c>
      <x:c r="M12" s="27" t="str">
        <x:v>Concluída</x:v>
      </x:c>
    </x:row>
    <x:row r="13">
      <x:c r="A13" s="27" t="n">
        <x:v>12</x:v>
      </x:c>
      <x:c r="B13" s="30" t="n">
        <x:v>45860</x:v>
      </x:c>
      <x:c r="C13" s="27" t="str">
        <x:v>SSD Expansion Card</x:v>
      </x:c>
      <x:c r="D13" s="27" t="str">
        <x:v>Acessório</x:v>
      </x:c>
      <x:c r="E13" s="27" t="str">
        <x:v>Centro-Oeste</x:v>
      </x:c>
      <x:c r="F13" s="27" t="str">
        <x:v>Marketplace</x:v>
      </x:c>
      <x:c r="G13" s="34" t="n">
        <x:v>8</x:v>
      </x:c>
      <x:c r="H13" s="32" t="n">
        <x:v>1299</x:v>
      </x:c>
      <x:c r="I13" s="32" t="n">
        <x:f>G13*H13</x:f>
        <x:v>10392</x:v>
      </x:c>
      <x:c r="J13" s="32" t="n">
        <x:v>918</x:v>
      </x:c>
      <x:c r="K13" s="32" t="n">
        <x:f>G13*J13</x:f>
        <x:v>7344</x:v>
      </x:c>
      <x:c r="L13" s="32" t="n">
        <x:f>I13-K13</x:f>
        <x:v>3048</x:v>
      </x:c>
      <x:c r="M13" s="27" t="str">
        <x:v>Concluída</x:v>
      </x:c>
    </x:row>
    <x:row r="14">
      <x:c r="A14" s="27" t="n">
        <x:v>13</x:v>
      </x:c>
      <x:c r="B14" s="30" t="n">
        <x:v>45956</x:v>
      </x:c>
      <x:c r="C14" s="27" t="str">
        <x:v>Gift Card Xbox</x:v>
      </x:c>
      <x:c r="D14" s="27" t="str">
        <x:v>Serviço</x:v>
      </x:c>
      <x:c r="E14" s="27" t="str">
        <x:v>Centro-Oeste</x:v>
      </x:c>
      <x:c r="F14" s="27" t="str">
        <x:v>Loja Física</x:v>
      </x:c>
      <x:c r="G14" s="34" t="n">
        <x:v>22</x:v>
      </x:c>
      <x:c r="H14" s="32" t="n">
        <x:v>105</x:v>
      </x:c>
      <x:c r="I14" s="32" t="n">
        <x:f>G14*H14</x:f>
        <x:v>2310</x:v>
      </x:c>
      <x:c r="J14" s="32" t="n">
        <x:v>69</x:v>
      </x:c>
      <x:c r="K14" s="32" t="n">
        <x:f>G14*J14</x:f>
        <x:v>1518</x:v>
      </x:c>
      <x:c r="L14" s="32" t="n">
        <x:f>I14-K14</x:f>
        <x:v>792</x:v>
      </x:c>
      <x:c r="M14" s="27" t="str">
        <x:v>Concluída</x:v>
      </x:c>
    </x:row>
    <x:row r="15">
      <x:c r="A15" s="27" t="n">
        <x:v>14</x:v>
      </x:c>
      <x:c r="B15" s="30" t="n">
        <x:v>45714</x:v>
      </x:c>
      <x:c r="C15" s="27" t="str">
        <x:v>Xbox Series X</x:v>
      </x:c>
      <x:c r="D15" s="27" t="str">
        <x:v>Console</x:v>
      </x:c>
      <x:c r="E15" s="27" t="str">
        <x:v>Sul</x:v>
      </x:c>
      <x:c r="F15" s="27" t="str">
        <x:v>Marketplace</x:v>
      </x:c>
      <x:c r="G15" s="34" t="n">
        <x:v>4</x:v>
      </x:c>
      <x:c r="H15" s="32" t="n">
        <x:v>3599</x:v>
      </x:c>
      <x:c r="I15" s="32" t="n">
        <x:f>G15*H15</x:f>
        <x:v>14396</x:v>
      </x:c>
      <x:c r="J15" s="32" t="n">
        <x:v>3050</x:v>
      </x:c>
      <x:c r="K15" s="32" t="n">
        <x:f>G15*J15</x:f>
        <x:v>12200</x:v>
      </x:c>
      <x:c r="L15" s="32" t="n">
        <x:f>I15-K15</x:f>
        <x:v>2196</x:v>
      </x:c>
      <x:c r="M15" s="27" t="str">
        <x:v>Concluída</x:v>
      </x:c>
    </x:row>
    <x:row r="16">
      <x:c r="A16" s="27" t="n">
        <x:v>15</x:v>
      </x:c>
      <x:c r="B16" s="30" t="n">
        <x:v>45963</x:v>
      </x:c>
      <x:c r="C16" s="27" t="str">
        <x:v>Gift Card Xbox</x:v>
      </x:c>
      <x:c r="D16" s="27" t="str">
        <x:v>Serviço</x:v>
      </x:c>
      <x:c r="E16" s="27" t="str">
        <x:v>Centro-Oeste</x:v>
      </x:c>
      <x:c r="F16" s="27" t="str">
        <x:v>Loja Física</x:v>
      </x:c>
      <x:c r="G16" s="34" t="n">
        <x:v>6</x:v>
      </x:c>
      <x:c r="H16" s="32" t="n">
        <x:v>90</x:v>
      </x:c>
      <x:c r="I16" s="32" t="n">
        <x:f>G16*H16</x:f>
        <x:v>540</x:v>
      </x:c>
      <x:c r="J16" s="32" t="n">
        <x:v>71</x:v>
      </x:c>
      <x:c r="K16" s="32" t="n">
        <x:f>G16*J16</x:f>
        <x:v>426</x:v>
      </x:c>
      <x:c r="L16" s="32" t="n">
        <x:f>I16-K16</x:f>
        <x:v>114</x:v>
      </x:c>
      <x:c r="M16" s="27" t="str">
        <x:v>Cancelada</x:v>
      </x:c>
    </x:row>
    <x:row r="17">
      <x:c r="A17" s="27" t="n">
        <x:v>16</x:v>
      </x:c>
      <x:c r="B17" s="30" t="n">
        <x:v>45986</x:v>
      </x:c>
      <x:c r="C17" s="27" t="str">
        <x:v>Controle Xbox Wireless</x:v>
      </x:c>
      <x:c r="D17" s="27" t="str">
        <x:v>Acessório</x:v>
      </x:c>
      <x:c r="E17" s="27" t="str">
        <x:v>Nordeste</x:v>
      </x:c>
      <x:c r="F17" s="27" t="str">
        <x:v>Loja Online</x:v>
      </x:c>
      <x:c r="G17" s="34" t="n">
        <x:v>6</x:v>
      </x:c>
      <x:c r="H17" s="32" t="n">
        <x:v>471</x:v>
      </x:c>
      <x:c r="I17" s="32" t="n">
        <x:f>G17*H17</x:f>
        <x:v>2826</x:v>
      </x:c>
      <x:c r="J17" s="32" t="n">
        <x:v>255</x:v>
      </x:c>
      <x:c r="K17" s="32" t="n">
        <x:f>G17*J17</x:f>
        <x:v>1530</x:v>
      </x:c>
      <x:c r="L17" s="32" t="n">
        <x:f>I17-K17</x:f>
        <x:v>1296</x:v>
      </x:c>
      <x:c r="M17" s="27" t="str">
        <x:v>Concluída</x:v>
      </x:c>
    </x:row>
    <x:row r="18">
      <x:c r="A18" s="27" t="n">
        <x:v>17</x:v>
      </x:c>
      <x:c r="B18" s="30" t="n">
        <x:v>45914</x:v>
      </x:c>
      <x:c r="C18" s="27" t="str">
        <x:v>Controle Xbox Wireless</x:v>
      </x:c>
      <x:c r="D18" s="27" t="str">
        <x:v>Acessório</x:v>
      </x:c>
      <x:c r="E18" s="27" t="str">
        <x:v>Sul</x:v>
      </x:c>
      <x:c r="F18" s="27" t="str">
        <x:v>Loja Online</x:v>
      </x:c>
      <x:c r="G18" s="34" t="n">
        <x:v>10</x:v>
      </x:c>
      <x:c r="H18" s="32" t="n">
        <x:v>427</x:v>
      </x:c>
      <x:c r="I18" s="32" t="n">
        <x:f>G18*H18</x:f>
        <x:v>4270</x:v>
      </x:c>
      <x:c r="J18" s="32" t="n">
        <x:v>255</x:v>
      </x:c>
      <x:c r="K18" s="32" t="n">
        <x:f>G18*J18</x:f>
        <x:v>2550</x:v>
      </x:c>
      <x:c r="L18" s="32" t="n">
        <x:f>I18-K18</x:f>
        <x:v>1720</x:v>
      </x:c>
      <x:c r="M18" s="27" t="str">
        <x:v>Concluída</x:v>
      </x:c>
    </x:row>
    <x:row r="19">
      <x:c r="A19" s="27" t="n">
        <x:v>18</x:v>
      </x:c>
      <x:c r="B19" s="30" t="n">
        <x:v>45740</x:v>
      </x:c>
      <x:c r="C19" s="27" t="str">
        <x:v>Headset Xbox</x:v>
      </x:c>
      <x:c r="D19" s="27" t="str">
        <x:v>Acessório</x:v>
      </x:c>
      <x:c r="E19" s="27" t="str">
        <x:v>Norte</x:v>
      </x:c>
      <x:c r="F19" s="27" t="str">
        <x:v>Loja Online</x:v>
      </x:c>
      <x:c r="G19" s="34" t="n">
        <x:v>16</x:v>
      </x:c>
      <x:c r="H19" s="32" t="n">
        <x:v>539</x:v>
      </x:c>
      <x:c r="I19" s="32" t="n">
        <x:f>G19*H19</x:f>
        <x:v>8624</x:v>
      </x:c>
      <x:c r="J19" s="32" t="n">
        <x:v>343</x:v>
      </x:c>
      <x:c r="K19" s="32" t="n">
        <x:f>G19*J19</x:f>
        <x:v>5488</x:v>
      </x:c>
      <x:c r="L19" s="32" t="n">
        <x:f>I19-K19</x:f>
        <x:v>3136</x:v>
      </x:c>
      <x:c r="M19" s="27" t="str">
        <x:v>Concluída</x:v>
      </x:c>
    </x:row>
    <x:row r="20">
      <x:c r="A20" s="27" t="n">
        <x:v>19</x:v>
      </x:c>
      <x:c r="B20" s="30" t="n">
        <x:v>45815</x:v>
      </x:c>
      <x:c r="C20" s="27" t="str">
        <x:v>Headset Xbox</x:v>
      </x:c>
      <x:c r="D20" s="27" t="str">
        <x:v>Acessório</x:v>
      </x:c>
      <x:c r="E20" s="27" t="str">
        <x:v>Sul</x:v>
      </x:c>
      <x:c r="F20" s="27" t="str">
        <x:v>Loja Online</x:v>
      </x:c>
      <x:c r="G20" s="34" t="n">
        <x:v>3</x:v>
      </x:c>
      <x:c r="H20" s="32" t="n">
        <x:v>539</x:v>
      </x:c>
      <x:c r="I20" s="32" t="n">
        <x:f>G20*H20</x:f>
        <x:v>1617</x:v>
      </x:c>
      <x:c r="J20" s="32" t="n">
        <x:v>357</x:v>
      </x:c>
      <x:c r="K20" s="32" t="n">
        <x:f>G20*J20</x:f>
        <x:v>1071</x:v>
      </x:c>
      <x:c r="L20" s="32" t="n">
        <x:f>I20-K20</x:f>
        <x:v>546</x:v>
      </x:c>
      <x:c r="M20" s="27" t="str">
        <x:v>Concluída</x:v>
      </x:c>
    </x:row>
    <x:row r="21">
      <x:c r="A21" s="27" t="n">
        <x:v>20</x:v>
      </x:c>
      <x:c r="B21" s="30" t="n">
        <x:v>45693</x:v>
      </x:c>
      <x:c r="C21" s="27" t="str">
        <x:v>SSD Expansion Card</x:v>
      </x:c>
      <x:c r="D21" s="27" t="str">
        <x:v>Acessório</x:v>
      </x:c>
      <x:c r="E21" s="27" t="str">
        <x:v>Norte</x:v>
      </x:c>
      <x:c r="F21" s="27" t="str">
        <x:v>Marketplace</x:v>
      </x:c>
      <x:c r="G21" s="34" t="n">
        <x:v>16</x:v>
      </x:c>
      <x:c r="H21" s="32" t="n">
        <x:v>1234</x:v>
      </x:c>
      <x:c r="I21" s="32" t="n">
        <x:f>G21*H21</x:f>
        <x:v>19744</x:v>
      </x:c>
      <x:c r="J21" s="32" t="n">
        <x:v>900</x:v>
      </x:c>
      <x:c r="K21" s="32" t="n">
        <x:f>G21*J21</x:f>
        <x:v>14400</x:v>
      </x:c>
      <x:c r="L21" s="32" t="n">
        <x:f>I21-K21</x:f>
        <x:v>5344</x:v>
      </x:c>
      <x:c r="M21" s="27" t="str">
        <x:v>Concluída</x:v>
      </x:c>
    </x:row>
    <x:row r="22">
      <x:c r="A22" s="27" t="n">
        <x:v>21</x:v>
      </x:c>
      <x:c r="B22" s="30" t="n">
        <x:v>45766</x:v>
      </x:c>
      <x:c r="C22" s="27" t="str">
        <x:v>Gift Card Xbox</x:v>
      </x:c>
      <x:c r="D22" s="27" t="str">
        <x:v>Serviço</x:v>
      </x:c>
      <x:c r="E22" s="27" t="str">
        <x:v>Norte</x:v>
      </x:c>
      <x:c r="F22" s="27" t="str">
        <x:v>Marketplace</x:v>
      </x:c>
      <x:c r="G22" s="34" t="n">
        <x:v>56</x:v>
      </x:c>
      <x:c r="H22" s="32" t="n">
        <x:v>100</x:v>
      </x:c>
      <x:c r="I22" s="32" t="n">
        <x:f>G22*H22</x:f>
        <x:v>5600</x:v>
      </x:c>
      <x:c r="J22" s="32" t="n">
        <x:v>70</x:v>
      </x:c>
      <x:c r="K22" s="32" t="n">
        <x:f>G22*J22</x:f>
        <x:v>3920</x:v>
      </x:c>
      <x:c r="L22" s="32" t="n">
        <x:f>I22-K22</x:f>
        <x:v>1680</x:v>
      </x:c>
      <x:c r="M22" s="27" t="str">
        <x:v>Concluída</x:v>
      </x:c>
    </x:row>
    <x:row r="23">
      <x:c r="A23" s="27" t="n">
        <x:v>22</x:v>
      </x:c>
      <x:c r="B23" s="30" t="n">
        <x:v>45719</x:v>
      </x:c>
      <x:c r="C23" s="27" t="str">
        <x:v>SSD Expansion Card</x:v>
      </x:c>
      <x:c r="D23" s="27" t="str">
        <x:v>Acessório</x:v>
      </x:c>
      <x:c r="E23" s="27" t="str">
        <x:v>Sul</x:v>
      </x:c>
      <x:c r="F23" s="27" t="str">
        <x:v>Marketplace</x:v>
      </x:c>
      <x:c r="G23" s="34" t="n">
        <x:v>1</x:v>
      </x:c>
      <x:c r="H23" s="32" t="n">
        <x:v>1234</x:v>
      </x:c>
      <x:c r="I23" s="32" t="n">
        <x:f>G23*H23</x:f>
        <x:v>1234</x:v>
      </x:c>
      <x:c r="J23" s="32" t="n">
        <x:v>918</x:v>
      </x:c>
      <x:c r="K23" s="32" t="n">
        <x:f>G23*J23</x:f>
        <x:v>918</x:v>
      </x:c>
      <x:c r="L23" s="32" t="n">
        <x:f>I23-K23</x:f>
        <x:v>316</x:v>
      </x:c>
      <x:c r="M23" s="27" t="str">
        <x:v>Concluída</x:v>
      </x:c>
    </x:row>
    <x:row r="24">
      <x:c r="A24" s="27" t="n">
        <x:v>23</x:v>
      </x:c>
      <x:c r="B24" s="30" t="n">
        <x:v>45661</x:v>
      </x:c>
      <x:c r="C24" s="27" t="str">
        <x:v>Xbox Game Pass Core</x:v>
      </x:c>
      <x:c r="D24" s="27" t="str">
        <x:v>Assinatura</x:v>
      </x:c>
      <x:c r="E24" s="27" t="str">
        <x:v>Sudeste</x:v>
      </x:c>
      <x:c r="F24" s="27" t="str">
        <x:v>Loja Online</x:v>
      </x:c>
      <x:c r="G24" s="34" t="n">
        <x:v>9</x:v>
      </x:c>
      <x:c r="H24" s="32" t="n">
        <x:v>34</x:v>
      </x:c>
      <x:c r="I24" s="32" t="n">
        <x:f>G24*H24</x:f>
        <x:v>306</x:v>
      </x:c>
      <x:c r="J24" s="32" t="n">
        <x:v>15</x:v>
      </x:c>
      <x:c r="K24" s="32" t="n">
        <x:f>G24*J24</x:f>
        <x:v>135</x:v>
      </x:c>
      <x:c r="L24" s="32" t="n">
        <x:f>I24-K24</x:f>
        <x:v>171</x:v>
      </x:c>
      <x:c r="M24" s="27" t="str">
        <x:v>Concluída</x:v>
      </x:c>
    </x:row>
    <x:row r="25">
      <x:c r="A25" s="27" t="n">
        <x:v>24</x:v>
      </x:c>
      <x:c r="B25" s="30" t="n">
        <x:v>45800</x:v>
      </x:c>
      <x:c r="C25" s="27" t="str">
        <x:v>Xbox Game Pass Core</x:v>
      </x:c>
      <x:c r="D25" s="27" t="str">
        <x:v>Assinatura</x:v>
      </x:c>
      <x:c r="E25" s="27" t="str">
        <x:v>Centro-Oeste</x:v>
      </x:c>
      <x:c r="F25" s="27" t="str">
        <x:v>Marketplace</x:v>
      </x:c>
      <x:c r="G25" s="34" t="n">
        <x:v>78</x:v>
      </x:c>
      <x:c r="H25" s="32" t="n">
        <x:v>36</x:v>
      </x:c>
      <x:c r="I25" s="32" t="n">
        <x:f>G25*H25</x:f>
        <x:v>2808</x:v>
      </x:c>
      <x:c r="J25" s="32" t="n">
        <x:v>15</x:v>
      </x:c>
      <x:c r="K25" s="32" t="n">
        <x:f>G25*J25</x:f>
        <x:v>1170</x:v>
      </x:c>
      <x:c r="L25" s="32" t="n">
        <x:f>I25-K25</x:f>
        <x:v>1638</x:v>
      </x:c>
      <x:c r="M25" s="27" t="str">
        <x:v>Concluída</x:v>
      </x:c>
    </x:row>
    <x:row r="26">
      <x:c r="A26" s="27" t="n">
        <x:v>25</x:v>
      </x:c>
      <x:c r="B26" s="30" t="n">
        <x:v>45866</x:v>
      </x:c>
      <x:c r="C26" s="27" t="str">
        <x:v>SSD Expansion Card</x:v>
      </x:c>
      <x:c r="D26" s="27" t="str">
        <x:v>Acessório</x:v>
      </x:c>
      <x:c r="E26" s="27" t="str">
        <x:v>Sul</x:v>
      </x:c>
      <x:c r="F26" s="27" t="str">
        <x:v>Loja Online</x:v>
      </x:c>
      <x:c r="G26" s="34" t="n">
        <x:v>14</x:v>
      </x:c>
      <x:c r="H26" s="32" t="n">
        <x:v>1299</x:v>
      </x:c>
      <x:c r="I26" s="32" t="n">
        <x:f>G26*H26</x:f>
        <x:v>18186</x:v>
      </x:c>
      <x:c r="J26" s="32" t="n">
        <x:v>900</x:v>
      </x:c>
      <x:c r="K26" s="32" t="n">
        <x:f>G26*J26</x:f>
        <x:v>12600</x:v>
      </x:c>
      <x:c r="L26" s="32" t="n">
        <x:f>I26-K26</x:f>
        <x:v>5586</x:v>
      </x:c>
      <x:c r="M26" s="27" t="str">
        <x:v>Concluída</x:v>
      </x:c>
    </x:row>
    <x:row r="27">
      <x:c r="A27" s="27" t="n">
        <x:v>26</x:v>
      </x:c>
      <x:c r="B27" s="30" t="n">
        <x:v>45897</x:v>
      </x:c>
      <x:c r="C27" s="27" t="str">
        <x:v>Gift Card Xbox</x:v>
      </x:c>
      <x:c r="D27" s="27" t="str">
        <x:v>Serviço</x:v>
      </x:c>
      <x:c r="E27" s="27" t="str">
        <x:v>Sudeste</x:v>
      </x:c>
      <x:c r="F27" s="27" t="str">
        <x:v>Loja Online</x:v>
      </x:c>
      <x:c r="G27" s="34" t="n">
        <x:v>48</x:v>
      </x:c>
      <x:c r="H27" s="32" t="n">
        <x:v>90</x:v>
      </x:c>
      <x:c r="I27" s="32" t="n">
        <x:f>G27*H27</x:f>
        <x:v>4320</x:v>
      </x:c>
      <x:c r="J27" s="32" t="n">
        <x:v>69</x:v>
      </x:c>
      <x:c r="K27" s="32" t="n">
        <x:f>G27*J27</x:f>
        <x:v>3312</x:v>
      </x:c>
      <x:c r="L27" s="32" t="n">
        <x:f>I27-K27</x:f>
        <x:v>1008</x:v>
      </x:c>
      <x:c r="M27" s="27" t="str">
        <x:v>Concluída</x:v>
      </x:c>
    </x:row>
    <x:row r="28">
      <x:c r="A28" s="27" t="n">
        <x:v>27</x:v>
      </x:c>
      <x:c r="B28" s="30" t="n">
        <x:v>45755</x:v>
      </x:c>
      <x:c r="C28" s="27" t="str">
        <x:v>Xbox Game Pass Core</x:v>
      </x:c>
      <x:c r="D28" s="27" t="str">
        <x:v>Assinatura</x:v>
      </x:c>
      <x:c r="E28" s="27" t="str">
        <x:v>Norte</x:v>
      </x:c>
      <x:c r="F28" s="27" t="str">
        <x:v>Parceiro</x:v>
      </x:c>
      <x:c r="G28" s="34" t="n">
        <x:v>28</x:v>
      </x:c>
      <x:c r="H28" s="32" t="n">
        <x:v>34</x:v>
      </x:c>
      <x:c r="I28" s="32" t="n">
        <x:f>G28*H28</x:f>
        <x:v>952</x:v>
      </x:c>
      <x:c r="J28" s="32" t="n">
        <x:v>15</x:v>
      </x:c>
      <x:c r="K28" s="32" t="n">
        <x:f>G28*J28</x:f>
        <x:v>420</x:v>
      </x:c>
      <x:c r="L28" s="32" t="n">
        <x:f>I28-K28</x:f>
        <x:v>532</x:v>
      </x:c>
      <x:c r="M28" s="27" t="str">
        <x:v>Concluída</x:v>
      </x:c>
    </x:row>
    <x:row r="29">
      <x:c r="A29" s="27" t="n">
        <x:v>28</x:v>
      </x:c>
      <x:c r="B29" s="30" t="n">
        <x:v>45696</x:v>
      </x:c>
      <x:c r="C29" s="27" t="str">
        <x:v>Xbox Game Pass Core</x:v>
      </x:c>
      <x:c r="D29" s="27" t="str">
        <x:v>Assinatura</x:v>
      </x:c>
      <x:c r="E29" s="27" t="str">
        <x:v>Centro-Oeste</x:v>
      </x:c>
      <x:c r="F29" s="27" t="str">
        <x:v>Loja Online</x:v>
      </x:c>
      <x:c r="G29" s="34" t="n">
        <x:v>74</x:v>
      </x:c>
      <x:c r="H29" s="32" t="n">
        <x:v>31</x:v>
      </x:c>
      <x:c r="I29" s="32" t="n">
        <x:f>G29*H29</x:f>
        <x:v>2294</x:v>
      </x:c>
      <x:c r="J29" s="32" t="n">
        <x:v>15</x:v>
      </x:c>
      <x:c r="K29" s="32" t="n">
        <x:f>G29*J29</x:f>
        <x:v>1110</x:v>
      </x:c>
      <x:c r="L29" s="32" t="n">
        <x:f>I29-K29</x:f>
        <x:v>1184</x:v>
      </x:c>
      <x:c r="M29" s="27" t="str">
        <x:v>Concluída</x:v>
      </x:c>
    </x:row>
    <x:row r="30">
      <x:c r="A30" s="27" t="n">
        <x:v>29</x:v>
      </x:c>
      <x:c r="B30" s="30" t="n">
        <x:v>45743</x:v>
      </x:c>
      <x:c r="C30" s="27" t="str">
        <x:v>Xbox Game Pass Core</x:v>
      </x:c>
      <x:c r="D30" s="27" t="str">
        <x:v>Assinatura</x:v>
      </x:c>
      <x:c r="E30" s="27" t="str">
        <x:v>Centro-Oeste</x:v>
      </x:c>
      <x:c r="F30" s="27" t="str">
        <x:v>Parceiro</x:v>
      </x:c>
      <x:c r="G30" s="34" t="n">
        <x:v>56</x:v>
      </x:c>
      <x:c r="H30" s="32" t="n">
        <x:v>31</x:v>
      </x:c>
      <x:c r="I30" s="32" t="n">
        <x:f>G30*H30</x:f>
        <x:v>1736</x:v>
      </x:c>
      <x:c r="J30" s="32" t="n">
        <x:v>15</x:v>
      </x:c>
      <x:c r="K30" s="32" t="n">
        <x:f>G30*J30</x:f>
        <x:v>840</x:v>
      </x:c>
      <x:c r="L30" s="32" t="n">
        <x:f>I30-K30</x:f>
        <x:v>896</x:v>
      </x:c>
      <x:c r="M30" s="27" t="str">
        <x:v>Concluída</x:v>
      </x:c>
    </x:row>
    <x:row r="31">
      <x:c r="A31" s="27" t="n">
        <x:v>30</x:v>
      </x:c>
      <x:c r="B31" s="30" t="n">
        <x:v>45659</x:v>
      </x:c>
      <x:c r="C31" s="27" t="str">
        <x:v>Gift Card Xbox</x:v>
      </x:c>
      <x:c r="D31" s="27" t="str">
        <x:v>Serviço</x:v>
      </x:c>
      <x:c r="E31" s="27" t="str">
        <x:v>Centro-Oeste</x:v>
      </x:c>
      <x:c r="F31" s="27" t="str">
        <x:v>Loja Física</x:v>
      </x:c>
      <x:c r="G31" s="34" t="n">
        <x:v>63</x:v>
      </x:c>
      <x:c r="H31" s="32" t="n">
        <x:v>100</x:v>
      </x:c>
      <x:c r="I31" s="32" t="n">
        <x:f>G31*H31</x:f>
        <x:v>6300</x:v>
      </x:c>
      <x:c r="J31" s="32" t="n">
        <x:v>70</x:v>
      </x:c>
      <x:c r="K31" s="32" t="n">
        <x:f>G31*J31</x:f>
        <x:v>4410</x:v>
      </x:c>
      <x:c r="L31" s="32" t="n">
        <x:f>I31-K31</x:f>
        <x:v>1890</x:v>
      </x:c>
      <x:c r="M31" s="27" t="str">
        <x:v>Concluída</x:v>
      </x:c>
    </x:row>
    <x:row r="32">
      <x:c r="A32" s="27" t="n">
        <x:v>31</x:v>
      </x:c>
      <x:c r="B32" s="30" t="n">
        <x:v>45737</x:v>
      </x:c>
      <x:c r="C32" s="27" t="str">
        <x:v>SSD Expansion Card</x:v>
      </x:c>
      <x:c r="D32" s="27" t="str">
        <x:v>Acessório</x:v>
      </x:c>
      <x:c r="E32" s="27" t="str">
        <x:v>Sul</x:v>
      </x:c>
      <x:c r="F32" s="27" t="str">
        <x:v>Loja Física</x:v>
      </x:c>
      <x:c r="G32" s="34" t="n">
        <x:v>2</x:v>
      </x:c>
      <x:c r="H32" s="32" t="n">
        <x:v>1169</x:v>
      </x:c>
      <x:c r="I32" s="32" t="n">
        <x:f>G32*H32</x:f>
        <x:v>2338</x:v>
      </x:c>
      <x:c r="J32" s="32" t="n">
        <x:v>918</x:v>
      </x:c>
      <x:c r="K32" s="32" t="n">
        <x:f>G32*J32</x:f>
        <x:v>1836</x:v>
      </x:c>
      <x:c r="L32" s="32" t="n">
        <x:f>I32-K32</x:f>
        <x:v>502</x:v>
      </x:c>
      <x:c r="M32" s="27" t="str">
        <x:v>Concluída</x:v>
      </x:c>
    </x:row>
    <x:row r="33">
      <x:c r="A33" s="27" t="n">
        <x:v>32</x:v>
      </x:c>
      <x:c r="B33" s="30" t="n">
        <x:v>45687</x:v>
      </x:c>
      <x:c r="C33" s="27" t="str">
        <x:v>Headset Xbox</x:v>
      </x:c>
      <x:c r="D33" s="27" t="str">
        <x:v>Acessório</x:v>
      </x:c>
      <x:c r="E33" s="27" t="str">
        <x:v>Sudeste</x:v>
      </x:c>
      <x:c r="F33" s="27" t="str">
        <x:v>Parceiro</x:v>
      </x:c>
      <x:c r="G33" s="34" t="n">
        <x:v>17</x:v>
      </x:c>
      <x:c r="H33" s="32" t="n">
        <x:v>569</x:v>
      </x:c>
      <x:c r="I33" s="32" t="n">
        <x:f>G33*H33</x:f>
        <x:v>9673</x:v>
      </x:c>
      <x:c r="J33" s="32" t="n">
        <x:v>343</x:v>
      </x:c>
      <x:c r="K33" s="32" t="n">
        <x:f>G33*J33</x:f>
        <x:v>5831</x:v>
      </x:c>
      <x:c r="L33" s="32" t="n">
        <x:f>I33-K33</x:f>
        <x:v>3842</x:v>
      </x:c>
      <x:c r="M33" s="27" t="str">
        <x:v>Concluída</x:v>
      </x:c>
    </x:row>
    <x:row r="34">
      <x:c r="A34" s="27" t="n">
        <x:v>33</x:v>
      </x:c>
      <x:c r="B34" s="30" t="n">
        <x:v>45753</x:v>
      </x:c>
      <x:c r="C34" s="27" t="str">
        <x:v>Xbox Series S</x:v>
      </x:c>
      <x:c r="D34" s="27" t="str">
        <x:v>Console</x:v>
      </x:c>
      <x:c r="E34" s="27" t="str">
        <x:v>Sudeste</x:v>
      </x:c>
      <x:c r="F34" s="27" t="str">
        <x:v>Loja Online</x:v>
      </x:c>
      <x:c r="G34" s="34" t="n">
        <x:v>2</x:v>
      </x:c>
      <x:c r="H34" s="32" t="n">
        <x:v>2519</x:v>
      </x:c>
      <x:c r="I34" s="32" t="n">
        <x:f>G34*H34</x:f>
        <x:v>5038</x:v>
      </x:c>
      <x:c r="J34" s="32" t="n">
        <x:v>1764</x:v>
      </x:c>
      <x:c r="K34" s="32" t="n">
        <x:f>G34*J34</x:f>
        <x:v>3528</x:v>
      </x:c>
      <x:c r="L34" s="32" t="n">
        <x:f>I34-K34</x:f>
        <x:v>1510</x:v>
      </x:c>
      <x:c r="M34" s="27" t="str">
        <x:v>Concluída</x:v>
      </x:c>
    </x:row>
    <x:row r="35">
      <x:c r="A35" s="27" t="n">
        <x:v>34</x:v>
      </x:c>
      <x:c r="B35" s="30" t="n">
        <x:v>45954</x:v>
      </x:c>
      <x:c r="C35" s="27" t="str">
        <x:v>Xbox Game Pass Core</x:v>
      </x:c>
      <x:c r="D35" s="27" t="str">
        <x:v>Assinatura</x:v>
      </x:c>
      <x:c r="E35" s="27" t="str">
        <x:v>Norte</x:v>
      </x:c>
      <x:c r="F35" s="27" t="str">
        <x:v>Loja Online</x:v>
      </x:c>
      <x:c r="G35" s="34" t="n">
        <x:v>58</x:v>
      </x:c>
      <x:c r="H35" s="32" t="n">
        <x:v>34</x:v>
      </x:c>
      <x:c r="I35" s="32" t="n">
        <x:f>G35*H35</x:f>
        <x:v>1972</x:v>
      </x:c>
      <x:c r="J35" s="32" t="n">
        <x:v>15</x:v>
      </x:c>
      <x:c r="K35" s="32" t="n">
        <x:f>G35*J35</x:f>
        <x:v>870</x:v>
      </x:c>
      <x:c r="L35" s="32" t="n">
        <x:f>I35-K35</x:f>
        <x:v>1102</x:v>
      </x:c>
      <x:c r="M35" s="27" t="str">
        <x:v>Concluída</x:v>
      </x:c>
    </x:row>
    <x:row r="36">
      <x:c r="A36" s="27" t="n">
        <x:v>35</x:v>
      </x:c>
      <x:c r="B36" s="30" t="n">
        <x:v>46000</x:v>
      </x:c>
      <x:c r="C36" s="27" t="str">
        <x:v>Xbox Game Pass Core</x:v>
      </x:c>
      <x:c r="D36" s="27" t="str">
        <x:v>Assinatura</x:v>
      </x:c>
      <x:c r="E36" s="27" t="str">
        <x:v>Nordeste</x:v>
      </x:c>
      <x:c r="F36" s="27" t="str">
        <x:v>Marketplace</x:v>
      </x:c>
      <x:c r="G36" s="34" t="n">
        <x:v>21</x:v>
      </x:c>
      <x:c r="H36" s="32" t="n">
        <x:v>34</x:v>
      </x:c>
      <x:c r="I36" s="32" t="n">
        <x:f>G36*H36</x:f>
        <x:v>714</x:v>
      </x:c>
      <x:c r="J36" s="32" t="n">
        <x:v>15</x:v>
      </x:c>
      <x:c r="K36" s="32" t="n">
        <x:f>G36*J36</x:f>
        <x:v>315</x:v>
      </x:c>
      <x:c r="L36" s="32" t="n">
        <x:f>I36-K36</x:f>
        <x:v>399</x:v>
      </x:c>
      <x:c r="M36" s="27" t="str">
        <x:v>Concluída</x:v>
      </x:c>
    </x:row>
    <x:row r="37">
      <x:c r="A37" s="27" t="n">
        <x:v>36</x:v>
      </x:c>
      <x:c r="B37" s="30" t="n">
        <x:v>45695</x:v>
      </x:c>
      <x:c r="C37" s="27" t="str">
        <x:v>Headset Xbox</x:v>
      </x:c>
      <x:c r="D37" s="27" t="str">
        <x:v>Acessório</x:v>
      </x:c>
      <x:c r="E37" s="27" t="str">
        <x:v>Sudeste</x:v>
      </x:c>
      <x:c r="F37" s="27" t="str">
        <x:v>Parceiro</x:v>
      </x:c>
      <x:c r="G37" s="34" t="n">
        <x:v>4</x:v>
      </x:c>
      <x:c r="H37" s="32" t="n">
        <x:v>539</x:v>
      </x:c>
      <x:c r="I37" s="32" t="n">
        <x:f>G37*H37</x:f>
        <x:v>2156</x:v>
      </x:c>
      <x:c r="J37" s="32" t="n">
        <x:v>357</x:v>
      </x:c>
      <x:c r="K37" s="32" t="n">
        <x:f>G37*J37</x:f>
        <x:v>1428</x:v>
      </x:c>
      <x:c r="L37" s="32" t="n">
        <x:f>I37-K37</x:f>
        <x:v>728</x:v>
      </x:c>
      <x:c r="M37" s="27" t="str">
        <x:v>Concluída</x:v>
      </x:c>
    </x:row>
    <x:row r="38">
      <x:c r="A38" s="27" t="n">
        <x:v>37</x:v>
      </x:c>
      <x:c r="B38" s="30" t="n">
        <x:v>45917</x:v>
      </x:c>
      <x:c r="C38" s="27" t="str">
        <x:v>Xbox Game Pass Core</x:v>
      </x:c>
      <x:c r="D38" s="27" t="str">
        <x:v>Assinatura</x:v>
      </x:c>
      <x:c r="E38" s="27" t="str">
        <x:v>Nordeste</x:v>
      </x:c>
      <x:c r="F38" s="27" t="str">
        <x:v>Marketplace</x:v>
      </x:c>
      <x:c r="G38" s="34" t="n">
        <x:v>13</x:v>
      </x:c>
      <x:c r="H38" s="32" t="n">
        <x:v>32</x:v>
      </x:c>
      <x:c r="I38" s="32" t="n">
        <x:f>G38*H38</x:f>
        <x:v>416</x:v>
      </x:c>
      <x:c r="J38" s="32" t="n">
        <x:v>15</x:v>
      </x:c>
      <x:c r="K38" s="32" t="n">
        <x:f>G38*J38</x:f>
        <x:v>195</x:v>
      </x:c>
      <x:c r="L38" s="32" t="n">
        <x:f>I38-K38</x:f>
        <x:v>221</x:v>
      </x:c>
      <x:c r="M38" s="27" t="str">
        <x:v>Concluída</x:v>
      </x:c>
    </x:row>
    <x:row r="39">
      <x:c r="A39" s="27" t="n">
        <x:v>38</x:v>
      </x:c>
      <x:c r="B39" s="30" t="n">
        <x:v>45738</x:v>
      </x:c>
      <x:c r="C39" s="27" t="str">
        <x:v>Controle Xbox Wireless</x:v>
      </x:c>
      <x:c r="D39" s="27" t="str">
        <x:v>Acessório</x:v>
      </x:c>
      <x:c r="E39" s="27" t="str">
        <x:v>Centro-Oeste</x:v>
      </x:c>
      <x:c r="F39" s="27" t="str">
        <x:v>Loja Física</x:v>
      </x:c>
      <x:c r="G39" s="34" t="n">
        <x:v>17</x:v>
      </x:c>
      <x:c r="H39" s="32" t="n">
        <x:v>404</x:v>
      </x:c>
      <x:c r="I39" s="32" t="n">
        <x:f>G39*H39</x:f>
        <x:v>6868</x:v>
      </x:c>
      <x:c r="J39" s="32" t="n">
        <x:v>265</x:v>
      </x:c>
      <x:c r="K39" s="32" t="n">
        <x:f>G39*J39</x:f>
        <x:v>4505</x:v>
      </x:c>
      <x:c r="L39" s="32" t="n">
        <x:f>I39-K39</x:f>
        <x:v>2363</x:v>
      </x:c>
      <x:c r="M39" s="27" t="str">
        <x:v>Concluída</x:v>
      </x:c>
    </x:row>
    <x:row r="40">
      <x:c r="A40" s="27" t="n">
        <x:v>39</x:v>
      </x:c>
      <x:c r="B40" s="30" t="n">
        <x:v>45997</x:v>
      </x:c>
      <x:c r="C40" s="27" t="str">
        <x:v>Controle Xbox Wireless</x:v>
      </x:c>
      <x:c r="D40" s="27" t="str">
        <x:v>Acessório</x:v>
      </x:c>
      <x:c r="E40" s="27" t="str">
        <x:v>Sudeste</x:v>
      </x:c>
      <x:c r="F40" s="27" t="str">
        <x:v>Marketplace</x:v>
      </x:c>
      <x:c r="G40" s="34" t="n">
        <x:v>4</x:v>
      </x:c>
      <x:c r="H40" s="32" t="n">
        <x:v>427</x:v>
      </x:c>
      <x:c r="I40" s="32" t="n">
        <x:f>G40*H40</x:f>
        <x:v>1708</x:v>
      </x:c>
      <x:c r="J40" s="32" t="n">
        <x:v>260</x:v>
      </x:c>
      <x:c r="K40" s="32" t="n">
        <x:f>G40*J40</x:f>
        <x:v>1040</x:v>
      </x:c>
      <x:c r="L40" s="32" t="n">
        <x:f>I40-K40</x:f>
        <x:v>668</x:v>
      </x:c>
      <x:c r="M40" s="27" t="str">
        <x:v>Concluída</x:v>
      </x:c>
    </x:row>
    <x:row r="41">
      <x:c r="A41" s="27" t="n">
        <x:v>40</x:v>
      </x:c>
      <x:c r="B41" s="30" t="n">
        <x:v>45967</x:v>
      </x:c>
      <x:c r="C41" s="27" t="str">
        <x:v>Controle Xbox Wireless</x:v>
      </x:c>
      <x:c r="D41" s="27" t="str">
        <x:v>Acessório</x:v>
      </x:c>
      <x:c r="E41" s="27" t="str">
        <x:v>Sul</x:v>
      </x:c>
      <x:c r="F41" s="27" t="str">
        <x:v>Loja Física</x:v>
      </x:c>
      <x:c r="G41" s="34" t="n">
        <x:v>9</x:v>
      </x:c>
      <x:c r="H41" s="32" t="n">
        <x:v>471</x:v>
      </x:c>
      <x:c r="I41" s="32" t="n">
        <x:f>G41*H41</x:f>
        <x:v>4239</x:v>
      </x:c>
      <x:c r="J41" s="32" t="n">
        <x:v>260</x:v>
      </x:c>
      <x:c r="K41" s="32" t="n">
        <x:f>G41*J41</x:f>
        <x:v>2340</x:v>
      </x:c>
      <x:c r="L41" s="32" t="n">
        <x:f>I41-K41</x:f>
        <x:v>1899</x:v>
      </x:c>
      <x:c r="M41" s="27" t="str">
        <x:v>Concluída</x:v>
      </x:c>
    </x:row>
    <x:row r="42">
      <x:c r="A42" s="27" t="n">
        <x:v>41</x:v>
      </x:c>
      <x:c r="B42" s="30" t="n">
        <x:v>45705</x:v>
      </x:c>
      <x:c r="C42" s="27" t="str">
        <x:v>Xbox Series X</x:v>
      </x:c>
      <x:c r="D42" s="27" t="str">
        <x:v>Console</x:v>
      </x:c>
      <x:c r="E42" s="27" t="str">
        <x:v>Centro-Oeste</x:v>
      </x:c>
      <x:c r="F42" s="27" t="str">
        <x:v>Loja Física</x:v>
      </x:c>
      <x:c r="G42" s="34" t="n">
        <x:v>3</x:v>
      </x:c>
      <x:c r="H42" s="32" t="n">
        <x:v>3799</x:v>
      </x:c>
      <x:c r="I42" s="32" t="n">
        <x:f>G42*H42</x:f>
        <x:v>11397</x:v>
      </x:c>
      <x:c r="J42" s="32" t="n">
        <x:v>3111</x:v>
      </x:c>
      <x:c r="K42" s="32" t="n">
        <x:f>G42*J42</x:f>
        <x:v>9333</x:v>
      </x:c>
      <x:c r="L42" s="32" t="n">
        <x:f>I42-K42</x:f>
        <x:v>2064</x:v>
      </x:c>
      <x:c r="M42" s="27" t="str">
        <x:v>Concluída</x:v>
      </x:c>
    </x:row>
    <x:row r="43">
      <x:c r="A43" s="27" t="n">
        <x:v>42</x:v>
      </x:c>
      <x:c r="B43" s="30" t="n">
        <x:v>45740</x:v>
      </x:c>
      <x:c r="C43" s="27" t="str">
        <x:v>Controle Xbox Wireless</x:v>
      </x:c>
      <x:c r="D43" s="27" t="str">
        <x:v>Acessório</x:v>
      </x:c>
      <x:c r="E43" s="27" t="str">
        <x:v>Centro-Oeste</x:v>
      </x:c>
      <x:c r="F43" s="27" t="str">
        <x:v>Parceiro</x:v>
      </x:c>
      <x:c r="G43" s="34" t="n">
        <x:v>4</x:v>
      </x:c>
      <x:c r="H43" s="32" t="n">
        <x:v>404</x:v>
      </x:c>
      <x:c r="I43" s="32" t="n">
        <x:f>G43*H43</x:f>
        <x:v>1616</x:v>
      </x:c>
      <x:c r="J43" s="32" t="n">
        <x:v>265</x:v>
      </x:c>
      <x:c r="K43" s="32" t="n">
        <x:f>G43*J43</x:f>
        <x:v>1060</x:v>
      </x:c>
      <x:c r="L43" s="32" t="n">
        <x:f>I43-K43</x:f>
        <x:v>556</x:v>
      </x:c>
      <x:c r="M43" s="27" t="str">
        <x:v>Concluída</x:v>
      </x:c>
    </x:row>
    <x:row r="44">
      <x:c r="A44" s="27" t="n">
        <x:v>43</x:v>
      </x:c>
      <x:c r="B44" s="30" t="n">
        <x:v>45937</x:v>
      </x:c>
      <x:c r="C44" s="27" t="str">
        <x:v>Xbox Game Pass Ultimate</x:v>
      </x:c>
      <x:c r="D44" s="27" t="str">
        <x:v>Assinatura</x:v>
      </x:c>
      <x:c r="E44" s="27" t="str">
        <x:v>Sudeste</x:v>
      </x:c>
      <x:c r="F44" s="27" t="str">
        <x:v>Loja Física</x:v>
      </x:c>
      <x:c r="G44" s="34" t="n">
        <x:v>23</x:v>
      </x:c>
      <x:c r="H44" s="32" t="n">
        <x:v>62</x:v>
      </x:c>
      <x:c r="I44" s="32" t="n">
        <x:f>G44*H44</x:f>
        <x:v>1426</x:v>
      </x:c>
      <x:c r="J44" s="32" t="n">
        <x:v>24</x:v>
      </x:c>
      <x:c r="K44" s="32" t="n">
        <x:f>G44*J44</x:f>
        <x:v>552</x:v>
      </x:c>
      <x:c r="L44" s="32" t="n">
        <x:f>I44-K44</x:f>
        <x:v>874</x:v>
      </x:c>
      <x:c r="M44" s="27" t="str">
        <x:v>Concluída</x:v>
      </x:c>
    </x:row>
    <x:row r="45">
      <x:c r="A45" s="27" t="n">
        <x:v>44</x:v>
      </x:c>
      <x:c r="B45" s="30" t="n">
        <x:v>45815</x:v>
      </x:c>
      <x:c r="C45" s="27" t="str">
        <x:v>Xbox Series X</x:v>
      </x:c>
      <x:c r="D45" s="27" t="str">
        <x:v>Console</x:v>
      </x:c>
      <x:c r="E45" s="27" t="str">
        <x:v>Nordeste</x:v>
      </x:c>
      <x:c r="F45" s="27" t="str">
        <x:v>Loja Online</x:v>
      </x:c>
      <x:c r="G45" s="34" t="n">
        <x:v>2</x:v>
      </x:c>
      <x:c r="H45" s="32" t="n">
        <x:v>3799</x:v>
      </x:c>
      <x:c r="I45" s="32" t="n">
        <x:f>G45*H45</x:f>
        <x:v>7598</x:v>
      </x:c>
      <x:c r="J45" s="32" t="n">
        <x:v>3111</x:v>
      </x:c>
      <x:c r="K45" s="32" t="n">
        <x:f>G45*J45</x:f>
        <x:v>6222</x:v>
      </x:c>
      <x:c r="L45" s="32" t="n">
        <x:f>I45-K45</x:f>
        <x:v>1376</x:v>
      </x:c>
      <x:c r="M45" s="27" t="str">
        <x:v>Concluída</x:v>
      </x:c>
    </x:row>
    <x:row r="46">
      <x:c r="A46" s="27" t="n">
        <x:v>45</x:v>
      </x:c>
      <x:c r="B46" s="30" t="n">
        <x:v>45839</x:v>
      </x:c>
      <x:c r="C46" s="27" t="str">
        <x:v>Xbox Series S</x:v>
      </x:c>
      <x:c r="D46" s="27" t="str">
        <x:v>Console</x:v>
      </x:c>
      <x:c r="E46" s="27" t="str">
        <x:v>Norte</x:v>
      </x:c>
      <x:c r="F46" s="27" t="str">
        <x:v>Parceiro</x:v>
      </x:c>
      <x:c r="G46" s="34" t="n">
        <x:v>6</x:v>
      </x:c>
      <x:c r="H46" s="32" t="n">
        <x:v>2279</x:v>
      </x:c>
      <x:c r="I46" s="32" t="n">
        <x:f>G46*H46</x:f>
        <x:v>13674</x:v>
      </x:c>
      <x:c r="J46" s="32" t="n">
        <x:v>1764</x:v>
      </x:c>
      <x:c r="K46" s="32" t="n">
        <x:f>G46*J46</x:f>
        <x:v>10584</x:v>
      </x:c>
      <x:c r="L46" s="32" t="n">
        <x:f>I46-K46</x:f>
        <x:v>3090</x:v>
      </x:c>
      <x:c r="M46" s="27" t="str">
        <x:v>Cancelada</x:v>
      </x:c>
    </x:row>
    <x:row r="47">
      <x:c r="A47" s="27" t="n">
        <x:v>46</x:v>
      </x:c>
      <x:c r="B47" s="30" t="n">
        <x:v>45748</x:v>
      </x:c>
      <x:c r="C47" s="27" t="str">
        <x:v>Xbox Game Pass Ultimate</x:v>
      </x:c>
      <x:c r="D47" s="27" t="str">
        <x:v>Assinatura</x:v>
      </x:c>
      <x:c r="E47" s="27" t="str">
        <x:v>Centro-Oeste</x:v>
      </x:c>
      <x:c r="F47" s="27" t="str">
        <x:v>Loja Online</x:v>
      </x:c>
      <x:c r="G47" s="34" t="n">
        <x:v>47</x:v>
      </x:c>
      <x:c r="H47" s="32" t="n">
        <x:v>62</x:v>
      </x:c>
      <x:c r="I47" s="32" t="n">
        <x:f>G47*H47</x:f>
        <x:v>2914</x:v>
      </x:c>
      <x:c r="J47" s="32" t="n">
        <x:v>26</x:v>
      </x:c>
      <x:c r="K47" s="32" t="n">
        <x:f>G47*J47</x:f>
        <x:v>1222</x:v>
      </x:c>
      <x:c r="L47" s="32" t="n">
        <x:f>I47-K47</x:f>
        <x:v>1692</x:v>
      </x:c>
      <x:c r="M47" s="27" t="str">
        <x:v>Concluída</x:v>
      </x:c>
    </x:row>
    <x:row r="48">
      <x:c r="A48" s="27" t="n">
        <x:v>47</x:v>
      </x:c>
      <x:c r="B48" s="30" t="n">
        <x:v>45794</x:v>
      </x:c>
      <x:c r="C48" s="27" t="str">
        <x:v>Xbox Game Pass Core</x:v>
      </x:c>
      <x:c r="D48" s="27" t="str">
        <x:v>Assinatura</x:v>
      </x:c>
      <x:c r="E48" s="27" t="str">
        <x:v>Sul</x:v>
      </x:c>
      <x:c r="F48" s="27" t="str">
        <x:v>Loja Online</x:v>
      </x:c>
      <x:c r="G48" s="34" t="n">
        <x:v>9</x:v>
      </x:c>
      <x:c r="H48" s="32" t="n">
        <x:v>36</x:v>
      </x:c>
      <x:c r="I48" s="32" t="n">
        <x:f>G48*H48</x:f>
        <x:v>324</x:v>
      </x:c>
      <x:c r="J48" s="32" t="n">
        <x:v>15</x:v>
      </x:c>
      <x:c r="K48" s="32" t="n">
        <x:f>G48*J48</x:f>
        <x:v>135</x:v>
      </x:c>
      <x:c r="L48" s="32" t="n">
        <x:f>I48-K48</x:f>
        <x:v>189</x:v>
      </x:c>
      <x:c r="M48" s="27" t="str">
        <x:v>Concluída</x:v>
      </x:c>
    </x:row>
    <x:row r="49">
      <x:c r="A49" s="27" t="n">
        <x:v>48</x:v>
      </x:c>
      <x:c r="B49" s="30" t="n">
        <x:v>45893</x:v>
      </x:c>
      <x:c r="C49" s="27" t="str">
        <x:v>Xbox Game Pass Core</x:v>
      </x:c>
      <x:c r="D49" s="27" t="str">
        <x:v>Assinatura</x:v>
      </x:c>
      <x:c r="E49" s="27" t="str">
        <x:v>Nordeste</x:v>
      </x:c>
      <x:c r="F49" s="27" t="str">
        <x:v>Loja Física</x:v>
      </x:c>
      <x:c r="G49" s="34" t="n">
        <x:v>34</x:v>
      </x:c>
      <x:c r="H49" s="32" t="n">
        <x:v>32</x:v>
      </x:c>
      <x:c r="I49" s="32" t="n">
        <x:f>G49*H49</x:f>
        <x:v>1088</x:v>
      </x:c>
      <x:c r="J49" s="32" t="n">
        <x:v>15</x:v>
      </x:c>
      <x:c r="K49" s="32" t="n">
        <x:f>G49*J49</x:f>
        <x:v>510</x:v>
      </x:c>
      <x:c r="L49" s="32" t="n">
        <x:f>I49-K49</x:f>
        <x:v>578</x:v>
      </x:c>
      <x:c r="M49" s="27" t="str">
        <x:v>Concluída</x:v>
      </x:c>
    </x:row>
    <x:row r="50">
      <x:c r="A50" s="27" t="n">
        <x:v>49</x:v>
      </x:c>
      <x:c r="B50" s="30" t="n">
        <x:v>45862</x:v>
      </x:c>
      <x:c r="C50" s="27" t="str">
        <x:v>Xbox Game Pass Core</x:v>
      </x:c>
      <x:c r="D50" s="27" t="str">
        <x:v>Assinatura</x:v>
      </x:c>
      <x:c r="E50" s="27" t="str">
        <x:v>Nordeste</x:v>
      </x:c>
      <x:c r="F50" s="27" t="str">
        <x:v>Loja Física</x:v>
      </x:c>
      <x:c r="G50" s="34" t="n">
        <x:v>40</x:v>
      </x:c>
      <x:c r="H50" s="32" t="n">
        <x:v>34</x:v>
      </x:c>
      <x:c r="I50" s="32" t="n">
        <x:f>G50*H50</x:f>
        <x:v>1360</x:v>
      </x:c>
      <x:c r="J50" s="32" t="n">
        <x:v>15</x:v>
      </x:c>
      <x:c r="K50" s="32" t="n">
        <x:f>G50*J50</x:f>
        <x:v>600</x:v>
      </x:c>
      <x:c r="L50" s="32" t="n">
        <x:f>I50-K50</x:f>
        <x:v>760</x:v>
      </x:c>
      <x:c r="M50" s="27" t="str">
        <x:v>Concluída</x:v>
      </x:c>
    </x:row>
    <x:row r="51">
      <x:c r="A51" s="27" t="n">
        <x:v>50</x:v>
      </x:c>
      <x:c r="B51" s="30" t="n">
        <x:v>46005</x:v>
      </x:c>
      <x:c r="C51" s="27" t="str">
        <x:v>Gift Card Xbox</x:v>
      </x:c>
      <x:c r="D51" s="27" t="str">
        <x:v>Serviço</x:v>
      </x:c>
      <x:c r="E51" s="27" t="str">
        <x:v>Norte</x:v>
      </x:c>
      <x:c r="F51" s="27" t="str">
        <x:v>Loja Física</x:v>
      </x:c>
      <x:c r="G51" s="34" t="n">
        <x:v>19</x:v>
      </x:c>
      <x:c r="H51" s="32" t="n">
        <x:v>100</x:v>
      </x:c>
      <x:c r="I51" s="32" t="n">
        <x:f>G51*H51</x:f>
        <x:v>1900</x:v>
      </x:c>
      <x:c r="J51" s="32" t="n">
        <x:v>69</x:v>
      </x:c>
      <x:c r="K51" s="32" t="n">
        <x:f>G51*J51</x:f>
        <x:v>1311</x:v>
      </x:c>
      <x:c r="L51" s="32" t="n">
        <x:f>I51-K51</x:f>
        <x:v>589</x:v>
      </x:c>
      <x:c r="M51" s="27" t="str">
        <x:v>Concluída</x:v>
      </x:c>
    </x:row>
    <x:row r="52">
      <x:c r="A52" s="27" t="n">
        <x:v>51</x:v>
      </x:c>
      <x:c r="B52" s="30" t="n">
        <x:v>45677</x:v>
      </x:c>
      <x:c r="C52" s="27" t="str">
        <x:v>Controle Xbox Wireless</x:v>
      </x:c>
      <x:c r="D52" s="27" t="str">
        <x:v>Acessório</x:v>
      </x:c>
      <x:c r="E52" s="27" t="str">
        <x:v>Sudeste</x:v>
      </x:c>
      <x:c r="F52" s="27" t="str">
        <x:v>Parceiro</x:v>
      </x:c>
      <x:c r="G52" s="34" t="n">
        <x:v>11</x:v>
      </x:c>
      <x:c r="H52" s="32" t="n">
        <x:v>471</x:v>
      </x:c>
      <x:c r="I52" s="32" t="n">
        <x:f>G52*H52</x:f>
        <x:v>5181</x:v>
      </x:c>
      <x:c r="J52" s="32" t="n">
        <x:v>265</x:v>
      </x:c>
      <x:c r="K52" s="32" t="n">
        <x:f>G52*J52</x:f>
        <x:v>2915</x:v>
      </x:c>
      <x:c r="L52" s="32" t="n">
        <x:f>I52-K52</x:f>
        <x:v>2266</x:v>
      </x:c>
      <x:c r="M52" s="27" t="str">
        <x:v>Concluída</x:v>
      </x:c>
    </x:row>
    <x:row r="53">
      <x:c r="A53" s="27" t="n">
        <x:v>52</x:v>
      </x:c>
      <x:c r="B53" s="30" t="n">
        <x:v>45855</x:v>
      </x:c>
      <x:c r="C53" s="27" t="str">
        <x:v>Xbox Series S</x:v>
      </x:c>
      <x:c r="D53" s="27" t="str">
        <x:v>Console</x:v>
      </x:c>
      <x:c r="E53" s="27" t="str">
        <x:v>Norte</x:v>
      </x:c>
      <x:c r="F53" s="27" t="str">
        <x:v>Marketplace</x:v>
      </x:c>
      <x:c r="G53" s="34" t="n">
        <x:v>6</x:v>
      </x:c>
      <x:c r="H53" s="32" t="n">
        <x:v>2519</x:v>
      </x:c>
      <x:c r="I53" s="32" t="n">
        <x:f>G53*H53</x:f>
        <x:v>15114</x:v>
      </x:c>
      <x:c r="J53" s="32" t="n">
        <x:v>1764</x:v>
      </x:c>
      <x:c r="K53" s="32" t="n">
        <x:f>G53*J53</x:f>
        <x:v>10584</x:v>
      </x:c>
      <x:c r="L53" s="32" t="n">
        <x:f>I53-K53</x:f>
        <x:v>4530</x:v>
      </x:c>
      <x:c r="M53" s="27" t="str">
        <x:v>Concluída</x:v>
      </x:c>
    </x:row>
    <x:row r="54">
      <x:c r="A54" s="27" t="n">
        <x:v>53</x:v>
      </x:c>
      <x:c r="B54" s="30" t="n">
        <x:v>45844</x:v>
      </x:c>
      <x:c r="C54" s="27" t="str">
        <x:v>Xbox Game Pass Core</x:v>
      </x:c>
      <x:c r="D54" s="27" t="str">
        <x:v>Assinatura</x:v>
      </x:c>
      <x:c r="E54" s="27" t="str">
        <x:v>Centro-Oeste</x:v>
      </x:c>
      <x:c r="F54" s="27" t="str">
        <x:v>Loja Online</x:v>
      </x:c>
      <x:c r="G54" s="34" t="n">
        <x:v>47</x:v>
      </x:c>
      <x:c r="H54" s="32" t="n">
        <x:v>34</x:v>
      </x:c>
      <x:c r="I54" s="32" t="n">
        <x:f>G54*H54</x:f>
        <x:v>1598</x:v>
      </x:c>
      <x:c r="J54" s="32" t="n">
        <x:v>15</x:v>
      </x:c>
      <x:c r="K54" s="32" t="n">
        <x:f>G54*J54</x:f>
        <x:v>705</x:v>
      </x:c>
      <x:c r="L54" s="32" t="n">
        <x:f>I54-K54</x:f>
        <x:v>893</x:v>
      </x:c>
      <x:c r="M54" s="27" t="str">
        <x:v>Cancelada</x:v>
      </x:c>
    </x:row>
    <x:row r="55">
      <x:c r="A55" s="27" t="n">
        <x:v>54</x:v>
      </x:c>
      <x:c r="B55" s="30" t="n">
        <x:v>45811</x:v>
      </x:c>
      <x:c r="C55" s="27" t="str">
        <x:v>Xbox Series S</x:v>
      </x:c>
      <x:c r="D55" s="27" t="str">
        <x:v>Console</x:v>
      </x:c>
      <x:c r="E55" s="27" t="str">
        <x:v>Norte</x:v>
      </x:c>
      <x:c r="F55" s="27" t="str">
        <x:v>Loja Física</x:v>
      </x:c>
      <x:c r="G55" s="34" t="n">
        <x:v>3</x:v>
      </x:c>
      <x:c r="H55" s="32" t="n">
        <x:v>2519</x:v>
      </x:c>
      <x:c r="I55" s="32" t="n">
        <x:f>G55*H55</x:f>
        <x:v>7557</x:v>
      </x:c>
      <x:c r="J55" s="32" t="n">
        <x:v>1836</x:v>
      </x:c>
      <x:c r="K55" s="32" t="n">
        <x:f>G55*J55</x:f>
        <x:v>5508</x:v>
      </x:c>
      <x:c r="L55" s="32" t="n">
        <x:f>I55-K55</x:f>
        <x:v>2049</x:v>
      </x:c>
      <x:c r="M55" s="27" t="str">
        <x:v>Concluída</x:v>
      </x:c>
    </x:row>
    <x:row r="56">
      <x:c r="A56" s="27" t="n">
        <x:v>55</x:v>
      </x:c>
      <x:c r="B56" s="30" t="n">
        <x:v>45941</x:v>
      </x:c>
      <x:c r="C56" s="27" t="str">
        <x:v>Controle Xbox Wireless</x:v>
      </x:c>
      <x:c r="D56" s="27" t="str">
        <x:v>Acessório</x:v>
      </x:c>
      <x:c r="E56" s="27" t="str">
        <x:v>Sul</x:v>
      </x:c>
      <x:c r="F56" s="27" t="str">
        <x:v>Marketplace</x:v>
      </x:c>
      <x:c r="G56" s="34" t="n">
        <x:v>13</x:v>
      </x:c>
      <x:c r="H56" s="32" t="n">
        <x:v>427</x:v>
      </x:c>
      <x:c r="I56" s="32" t="n">
        <x:f>G56*H56</x:f>
        <x:v>5551</x:v>
      </x:c>
      <x:c r="J56" s="32" t="n">
        <x:v>265</x:v>
      </x:c>
      <x:c r="K56" s="32" t="n">
        <x:f>G56*J56</x:f>
        <x:v>3445</x:v>
      </x:c>
      <x:c r="L56" s="32" t="n">
        <x:f>I56-K56</x:f>
        <x:v>2106</x:v>
      </x:c>
      <x:c r="M56" s="27" t="str">
        <x:v>Concluída</x:v>
      </x:c>
    </x:row>
    <x:row r="57">
      <x:c r="A57" s="27" t="n">
        <x:v>56</x:v>
      </x:c>
      <x:c r="B57" s="30" t="n">
        <x:v>45865</x:v>
      </x:c>
      <x:c r="C57" s="27" t="str">
        <x:v>Controle Xbox Wireless</x:v>
      </x:c>
      <x:c r="D57" s="27" t="str">
        <x:v>Acessório</x:v>
      </x:c>
      <x:c r="E57" s="27" t="str">
        <x:v>Norte</x:v>
      </x:c>
      <x:c r="F57" s="27" t="str">
        <x:v>Loja Online</x:v>
      </x:c>
      <x:c r="G57" s="34" t="n">
        <x:v>7</x:v>
      </x:c>
      <x:c r="H57" s="32" t="n">
        <x:v>471</x:v>
      </x:c>
      <x:c r="I57" s="32" t="n">
        <x:f>G57*H57</x:f>
        <x:v>3297</x:v>
      </x:c>
      <x:c r="J57" s="32" t="n">
        <x:v>265</x:v>
      </x:c>
      <x:c r="K57" s="32" t="n">
        <x:f>G57*J57</x:f>
        <x:v>1855</x:v>
      </x:c>
      <x:c r="L57" s="32" t="n">
        <x:f>I57-K57</x:f>
        <x:v>1442</x:v>
      </x:c>
      <x:c r="M57" s="27" t="str">
        <x:v>Concluída</x:v>
      </x:c>
    </x:row>
    <x:row r="58">
      <x:c r="A58" s="27" t="n">
        <x:v>57</x:v>
      </x:c>
      <x:c r="B58" s="30" t="n">
        <x:v>45896</x:v>
      </x:c>
      <x:c r="C58" s="27" t="str">
        <x:v>Headset Xbox</x:v>
      </x:c>
      <x:c r="D58" s="27" t="str">
        <x:v>Acessório</x:v>
      </x:c>
      <x:c r="E58" s="27" t="str">
        <x:v>Centro-Oeste</x:v>
      </x:c>
      <x:c r="F58" s="27" t="str">
        <x:v>Parceiro</x:v>
      </x:c>
      <x:c r="G58" s="34" t="n">
        <x:v>17</x:v>
      </x:c>
      <x:c r="H58" s="32" t="n">
        <x:v>629</x:v>
      </x:c>
      <x:c r="I58" s="32" t="n">
        <x:f>G58*H58</x:f>
        <x:v>10693</x:v>
      </x:c>
      <x:c r="J58" s="32" t="n">
        <x:v>357</x:v>
      </x:c>
      <x:c r="K58" s="32" t="n">
        <x:f>G58*J58</x:f>
        <x:v>6069</x:v>
      </x:c>
      <x:c r="L58" s="32" t="n">
        <x:f>I58-K58</x:f>
        <x:v>4624</x:v>
      </x:c>
      <x:c r="M58" s="27" t="str">
        <x:v>Concluída</x:v>
      </x:c>
    </x:row>
    <x:row r="59">
      <x:c r="A59" s="27" t="n">
        <x:v>58</x:v>
      </x:c>
      <x:c r="B59" s="30" t="n">
        <x:v>45995</x:v>
      </x:c>
      <x:c r="C59" s="27" t="str">
        <x:v>Xbox Game Pass Ultimate</x:v>
      </x:c>
      <x:c r="D59" s="27" t="str">
        <x:v>Assinatura</x:v>
      </x:c>
      <x:c r="E59" s="27" t="str">
        <x:v>Sudeste</x:v>
      </x:c>
      <x:c r="F59" s="27" t="str">
        <x:v>Loja Física</x:v>
      </x:c>
      <x:c r="G59" s="34" t="n">
        <x:v>47</x:v>
      </x:c>
      <x:c r="H59" s="32" t="n">
        <x:v>53</x:v>
      </x:c>
      <x:c r="I59" s="32" t="n">
        <x:f>G59*H59</x:f>
        <x:v>2491</x:v>
      </x:c>
      <x:c r="J59" s="32" t="n">
        <x:v>24</x:v>
      </x:c>
      <x:c r="K59" s="32" t="n">
        <x:f>G59*J59</x:f>
        <x:v>1128</x:v>
      </x:c>
      <x:c r="L59" s="32" t="n">
        <x:f>I59-K59</x:f>
        <x:v>1363</x:v>
      </x:c>
      <x:c r="M59" s="27" t="str">
        <x:v>Concluída</x:v>
      </x:c>
    </x:row>
    <x:row r="60">
      <x:c r="A60" s="27" t="n">
        <x:v>59</x:v>
      </x:c>
      <x:c r="B60" s="30" t="n">
        <x:v>45773</x:v>
      </x:c>
      <x:c r="C60" s="27" t="str">
        <x:v>Controle Xbox Wireless</x:v>
      </x:c>
      <x:c r="D60" s="27" t="str">
        <x:v>Acessório</x:v>
      </x:c>
      <x:c r="E60" s="27" t="str">
        <x:v>Sul</x:v>
      </x:c>
      <x:c r="F60" s="27" t="str">
        <x:v>Marketplace</x:v>
      </x:c>
      <x:c r="G60" s="34" t="n">
        <x:v>8</x:v>
      </x:c>
      <x:c r="H60" s="32" t="n">
        <x:v>471</x:v>
      </x:c>
      <x:c r="I60" s="32" t="n">
        <x:f>G60*H60</x:f>
        <x:v>3768</x:v>
      </x:c>
      <x:c r="J60" s="32" t="n">
        <x:v>265</x:v>
      </x:c>
      <x:c r="K60" s="32" t="n">
        <x:f>G60*J60</x:f>
        <x:v>2120</x:v>
      </x:c>
      <x:c r="L60" s="32" t="n">
        <x:f>I60-K60</x:f>
        <x:v>1648</x:v>
      </x:c>
      <x:c r="M60" s="27" t="str">
        <x:v>Concluída</x:v>
      </x:c>
    </x:row>
    <x:row r="61">
      <x:c r="A61" s="27" t="n">
        <x:v>60</x:v>
      </x:c>
      <x:c r="B61" s="30" t="n">
        <x:v>45891</x:v>
      </x:c>
      <x:c r="C61" s="27" t="str">
        <x:v>Xbox Series S</x:v>
      </x:c>
      <x:c r="D61" s="27" t="str">
        <x:v>Console</x:v>
      </x:c>
      <x:c r="E61" s="27" t="str">
        <x:v>Centro-Oeste</x:v>
      </x:c>
      <x:c r="F61" s="27" t="str">
        <x:v>Marketplace</x:v>
      </x:c>
      <x:c r="G61" s="34" t="n">
        <x:v>4</x:v>
      </x:c>
      <x:c r="H61" s="32" t="n">
        <x:v>2519</x:v>
      </x:c>
      <x:c r="I61" s="32" t="n">
        <x:f>G61*H61</x:f>
        <x:v>10076</x:v>
      </x:c>
      <x:c r="J61" s="32" t="n">
        <x:v>1800</x:v>
      </x:c>
      <x:c r="K61" s="32" t="n">
        <x:f>G61*J61</x:f>
        <x:v>7200</x:v>
      </x:c>
      <x:c r="L61" s="32" t="n">
        <x:f>I61-K61</x:f>
        <x:v>2876</x:v>
      </x:c>
      <x:c r="M61" s="27" t="str">
        <x:v>Concluída</x:v>
      </x:c>
    </x:row>
    <x:row r="62">
      <x:c r="A62" s="27" t="n">
        <x:v>61</x:v>
      </x:c>
      <x:c r="B62" s="30" t="n">
        <x:v>45733</x:v>
      </x:c>
      <x:c r="C62" s="27" t="str">
        <x:v>Xbox Game Pass Core</x:v>
      </x:c>
      <x:c r="D62" s="27" t="str">
        <x:v>Assinatura</x:v>
      </x:c>
      <x:c r="E62" s="27" t="str">
        <x:v>Sudeste</x:v>
      </x:c>
      <x:c r="F62" s="27" t="str">
        <x:v>Loja Online</x:v>
      </x:c>
      <x:c r="G62" s="34" t="n">
        <x:v>33</x:v>
      </x:c>
      <x:c r="H62" s="32" t="n">
        <x:v>32</x:v>
      </x:c>
      <x:c r="I62" s="32" t="n">
        <x:f>G62*H62</x:f>
        <x:v>1056</x:v>
      </x:c>
      <x:c r="J62" s="32" t="n">
        <x:v>15</x:v>
      </x:c>
      <x:c r="K62" s="32" t="n">
        <x:f>G62*J62</x:f>
        <x:v>495</x:v>
      </x:c>
      <x:c r="L62" s="32" t="n">
        <x:f>I62-K62</x:f>
        <x:v>561</x:v>
      </x:c>
      <x:c r="M62" s="27" t="str">
        <x:v>Concluída</x:v>
      </x:c>
    </x:row>
    <x:row r="63">
      <x:c r="A63" s="27" t="n">
        <x:v>62</x:v>
      </x:c>
      <x:c r="B63" s="30" t="n">
        <x:v>45683</x:v>
      </x:c>
      <x:c r="C63" s="27" t="str">
        <x:v>SSD Expansion Card</x:v>
      </x:c>
      <x:c r="D63" s="27" t="str">
        <x:v>Acessório</x:v>
      </x:c>
      <x:c r="E63" s="27" t="str">
        <x:v>Norte</x:v>
      </x:c>
      <x:c r="F63" s="27" t="str">
        <x:v>Marketplace</x:v>
      </x:c>
      <x:c r="G63" s="34" t="n">
        <x:v>4</x:v>
      </x:c>
      <x:c r="H63" s="32" t="n">
        <x:v>1364</x:v>
      </x:c>
      <x:c r="I63" s="32" t="n">
        <x:f>G63*H63</x:f>
        <x:v>5456</x:v>
      </x:c>
      <x:c r="J63" s="32" t="n">
        <x:v>882</x:v>
      </x:c>
      <x:c r="K63" s="32" t="n">
        <x:f>G63*J63</x:f>
        <x:v>3528</x:v>
      </x:c>
      <x:c r="L63" s="32" t="n">
        <x:f>I63-K63</x:f>
        <x:v>1928</x:v>
      </x:c>
      <x:c r="M63" s="27" t="str">
        <x:v>Concluída</x:v>
      </x:c>
    </x:row>
    <x:row r="64">
      <x:c r="A64" s="27" t="n">
        <x:v>63</x:v>
      </x:c>
      <x:c r="B64" s="30" t="n">
        <x:v>45999</x:v>
      </x:c>
      <x:c r="C64" s="27" t="str">
        <x:v>SSD Expansion Card</x:v>
      </x:c>
      <x:c r="D64" s="27" t="str">
        <x:v>Acessório</x:v>
      </x:c>
      <x:c r="E64" s="27" t="str">
        <x:v>Norte</x:v>
      </x:c>
      <x:c r="F64" s="27" t="str">
        <x:v>Loja Física</x:v>
      </x:c>
      <x:c r="G64" s="34" t="n">
        <x:v>15</x:v>
      </x:c>
      <x:c r="H64" s="32" t="n">
        <x:v>1364</x:v>
      </x:c>
      <x:c r="I64" s="32" t="n">
        <x:f>G64*H64</x:f>
        <x:v>20460</x:v>
      </x:c>
      <x:c r="J64" s="32" t="n">
        <x:v>918</x:v>
      </x:c>
      <x:c r="K64" s="32" t="n">
        <x:f>G64*J64</x:f>
        <x:v>13770</x:v>
      </x:c>
      <x:c r="L64" s="32" t="n">
        <x:f>I64-K64</x:f>
        <x:v>6690</x:v>
      </x:c>
      <x:c r="M64" s="27" t="str">
        <x:v>Cancelada</x:v>
      </x:c>
    </x:row>
    <x:row r="65">
      <x:c r="A65" s="27" t="n">
        <x:v>64</x:v>
      </x:c>
      <x:c r="B65" s="30" t="n">
        <x:v>45739</x:v>
      </x:c>
      <x:c r="C65" s="27" t="str">
        <x:v>SSD Expansion Card</x:v>
      </x:c>
      <x:c r="D65" s="27" t="str">
        <x:v>Acessório</x:v>
      </x:c>
      <x:c r="E65" s="27" t="str">
        <x:v>Centro-Oeste</x:v>
      </x:c>
      <x:c r="F65" s="27" t="str">
        <x:v>Parceiro</x:v>
      </x:c>
      <x:c r="G65" s="34" t="n">
        <x:v>8</x:v>
      </x:c>
      <x:c r="H65" s="32" t="n">
        <x:v>1299</x:v>
      </x:c>
      <x:c r="I65" s="32" t="n">
        <x:f>G65*H65</x:f>
        <x:v>10392</x:v>
      </x:c>
      <x:c r="J65" s="32" t="n">
        <x:v>918</x:v>
      </x:c>
      <x:c r="K65" s="32" t="n">
        <x:f>G65*J65</x:f>
        <x:v>7344</x:v>
      </x:c>
      <x:c r="L65" s="32" t="n">
        <x:f>I65-K65</x:f>
        <x:v>3048</x:v>
      </x:c>
      <x:c r="M65" s="27" t="str">
        <x:v>Concluída</x:v>
      </x:c>
    </x:row>
    <x:row r="66">
      <x:c r="A66" s="27" t="n">
        <x:v>65</x:v>
      </x:c>
      <x:c r="B66" s="30" t="n">
        <x:v>45978</x:v>
      </x:c>
      <x:c r="C66" s="27" t="str">
        <x:v>SSD Expansion Card</x:v>
      </x:c>
      <x:c r="D66" s="27" t="str">
        <x:v>Acessório</x:v>
      </x:c>
      <x:c r="E66" s="27" t="str">
        <x:v>Sul</x:v>
      </x:c>
      <x:c r="F66" s="27" t="str">
        <x:v>Loja Física</x:v>
      </x:c>
      <x:c r="G66" s="34" t="n">
        <x:v>10</x:v>
      </x:c>
      <x:c r="H66" s="32" t="n">
        <x:v>1234</x:v>
      </x:c>
      <x:c r="I66" s="32" t="n">
        <x:f>G66*H66</x:f>
        <x:v>12340</x:v>
      </x:c>
      <x:c r="J66" s="32" t="n">
        <x:v>900</x:v>
      </x:c>
      <x:c r="K66" s="32" t="n">
        <x:f>G66*J66</x:f>
        <x:v>9000</x:v>
      </x:c>
      <x:c r="L66" s="32" t="n">
        <x:f>I66-K66</x:f>
        <x:v>3340</x:v>
      </x:c>
      <x:c r="M66" s="27" t="str">
        <x:v>Concluída</x:v>
      </x:c>
    </x:row>
    <x:row r="67">
      <x:c r="A67" s="27" t="n">
        <x:v>66</x:v>
      </x:c>
      <x:c r="B67" s="30" t="n">
        <x:v>45821</x:v>
      </x:c>
      <x:c r="C67" s="27" t="str">
        <x:v>Headset Xbox</x:v>
      </x:c>
      <x:c r="D67" s="27" t="str">
        <x:v>Acessório</x:v>
      </x:c>
      <x:c r="E67" s="27" t="str">
        <x:v>Norte</x:v>
      </x:c>
      <x:c r="F67" s="27" t="str">
        <x:v>Loja Online</x:v>
      </x:c>
      <x:c r="G67" s="34" t="n">
        <x:v>8</x:v>
      </x:c>
      <x:c r="H67" s="32" t="n">
        <x:v>629</x:v>
      </x:c>
      <x:c r="I67" s="32" t="n">
        <x:f>G67*H67</x:f>
        <x:v>5032</x:v>
      </x:c>
      <x:c r="J67" s="32" t="n">
        <x:v>357</x:v>
      </x:c>
      <x:c r="K67" s="32" t="n">
        <x:f>G67*J67</x:f>
        <x:v>2856</x:v>
      </x:c>
      <x:c r="L67" s="32" t="n">
        <x:f>I67-K67</x:f>
        <x:v>2176</x:v>
      </x:c>
      <x:c r="M67" s="27" t="str">
        <x:v>Concluída</x:v>
      </x:c>
    </x:row>
    <x:row r="68">
      <x:c r="A68" s="27" t="n">
        <x:v>67</x:v>
      </x:c>
      <x:c r="B68" s="30" t="n">
        <x:v>46019</x:v>
      </x:c>
      <x:c r="C68" s="27" t="str">
        <x:v>Xbox Game Pass Ultimate</x:v>
      </x:c>
      <x:c r="D68" s="27" t="str">
        <x:v>Assinatura</x:v>
      </x:c>
      <x:c r="E68" s="27" t="str">
        <x:v>Sul</x:v>
      </x:c>
      <x:c r="F68" s="27" t="str">
        <x:v>Loja Online</x:v>
      </x:c>
      <x:c r="G68" s="34" t="n">
        <x:v>47</x:v>
      </x:c>
      <x:c r="H68" s="32" t="n">
        <x:v>62</x:v>
      </x:c>
      <x:c r="I68" s="32" t="n">
        <x:f>G68*H68</x:f>
        <x:v>2914</x:v>
      </x:c>
      <x:c r="J68" s="32" t="n">
        <x:v>25</x:v>
      </x:c>
      <x:c r="K68" s="32" t="n">
        <x:f>G68*J68</x:f>
        <x:v>1175</x:v>
      </x:c>
      <x:c r="L68" s="32" t="n">
        <x:f>I68-K68</x:f>
        <x:v>1739</x:v>
      </x:c>
      <x:c r="M68" s="27" t="str">
        <x:v>Concluída</x:v>
      </x:c>
    </x:row>
    <x:row r="69">
      <x:c r="A69" s="27" t="n">
        <x:v>68</x:v>
      </x:c>
      <x:c r="B69" s="30" t="n">
        <x:v>45763</x:v>
      </x:c>
      <x:c r="C69" s="27" t="str">
        <x:v>Xbox Series X</x:v>
      </x:c>
      <x:c r="D69" s="27" t="str">
        <x:v>Console</x:v>
      </x:c>
      <x:c r="E69" s="27" t="str">
        <x:v>Centro-Oeste</x:v>
      </x:c>
      <x:c r="F69" s="27" t="str">
        <x:v>Parceiro</x:v>
      </x:c>
      <x:c r="G69" s="34" t="n">
        <x:v>5</x:v>
      </x:c>
      <x:c r="H69" s="32" t="n">
        <x:v>3599</x:v>
      </x:c>
      <x:c r="I69" s="32" t="n">
        <x:f>G69*H69</x:f>
        <x:v>17995</x:v>
      </x:c>
      <x:c r="J69" s="32" t="n">
        <x:v>3111</x:v>
      </x:c>
      <x:c r="K69" s="32" t="n">
        <x:f>G69*J69</x:f>
        <x:v>15555</x:v>
      </x:c>
      <x:c r="L69" s="32" t="n">
        <x:f>I69-K69</x:f>
        <x:v>2440</x:v>
      </x:c>
      <x:c r="M69" s="27" t="str">
        <x:v>Concluída</x:v>
      </x:c>
    </x:row>
    <x:row r="70">
      <x:c r="A70" s="27" t="n">
        <x:v>69</x:v>
      </x:c>
      <x:c r="B70" s="30" t="n">
        <x:v>45902</x:v>
      </x:c>
      <x:c r="C70" s="27" t="str">
        <x:v>Gift Card Xbox</x:v>
      </x:c>
      <x:c r="D70" s="27" t="str">
        <x:v>Serviço</x:v>
      </x:c>
      <x:c r="E70" s="27" t="str">
        <x:v>Sudeste</x:v>
      </x:c>
      <x:c r="F70" s="27" t="str">
        <x:v>Loja Física</x:v>
      </x:c>
      <x:c r="G70" s="34" t="n">
        <x:v>54</x:v>
      </x:c>
      <x:c r="H70" s="32" t="n">
        <x:v>105</x:v>
      </x:c>
      <x:c r="I70" s="32" t="n">
        <x:f>G70*H70</x:f>
        <x:v>5670</x:v>
      </x:c>
      <x:c r="J70" s="32" t="n">
        <x:v>71</x:v>
      </x:c>
      <x:c r="K70" s="32" t="n">
        <x:f>G70*J70</x:f>
        <x:v>3834</x:v>
      </x:c>
      <x:c r="L70" s="32" t="n">
        <x:f>I70-K70</x:f>
        <x:v>1836</x:v>
      </x:c>
      <x:c r="M70" s="27" t="str">
        <x:v>Concluída</x:v>
      </x:c>
    </x:row>
    <x:row r="71">
      <x:c r="A71" s="27" t="n">
        <x:v>70</x:v>
      </x:c>
      <x:c r="B71" s="30" t="n">
        <x:v>45907</x:v>
      </x:c>
      <x:c r="C71" s="27" t="str">
        <x:v>Xbox Game Pass Core</x:v>
      </x:c>
      <x:c r="D71" s="27" t="str">
        <x:v>Assinatura</x:v>
      </x:c>
      <x:c r="E71" s="27" t="str">
        <x:v>Sul</x:v>
      </x:c>
      <x:c r="F71" s="27" t="str">
        <x:v>Loja Física</x:v>
      </x:c>
      <x:c r="G71" s="34" t="n">
        <x:v>8</x:v>
      </x:c>
      <x:c r="H71" s="32" t="n">
        <x:v>36</x:v>
      </x:c>
      <x:c r="I71" s="32" t="n">
        <x:f>G71*H71</x:f>
        <x:v>288</x:v>
      </x:c>
      <x:c r="J71" s="32" t="n">
        <x:v>15</x:v>
      </x:c>
      <x:c r="K71" s="32" t="n">
        <x:f>G71*J71</x:f>
        <x:v>120</x:v>
      </x:c>
      <x:c r="L71" s="32" t="n">
        <x:f>I71-K71</x:f>
        <x:v>168</x:v>
      </x:c>
      <x:c r="M71" s="27" t="str">
        <x:v>Concluída</x:v>
      </x:c>
    </x:row>
    <x:row r="72">
      <x:c r="A72" s="27" t="n">
        <x:v>71</x:v>
      </x:c>
      <x:c r="B72" s="30" t="n">
        <x:v>45742</x:v>
      </x:c>
      <x:c r="C72" s="27" t="str">
        <x:v>Gift Card Xbox</x:v>
      </x:c>
      <x:c r="D72" s="27" t="str">
        <x:v>Serviço</x:v>
      </x:c>
      <x:c r="E72" s="27" t="str">
        <x:v>Centro-Oeste</x:v>
      </x:c>
      <x:c r="F72" s="27" t="str">
        <x:v>Marketplace</x:v>
      </x:c>
      <x:c r="G72" s="34" t="n">
        <x:v>73</x:v>
      </x:c>
      <x:c r="H72" s="32" t="n">
        <x:v>90</x:v>
      </x:c>
      <x:c r="I72" s="32" t="n">
        <x:f>G72*H72</x:f>
        <x:v>6570</x:v>
      </x:c>
      <x:c r="J72" s="32" t="n">
        <x:v>70</x:v>
      </x:c>
      <x:c r="K72" s="32" t="n">
        <x:f>G72*J72</x:f>
        <x:v>5110</x:v>
      </x:c>
      <x:c r="L72" s="32" t="n">
        <x:f>I72-K72</x:f>
        <x:v>1460</x:v>
      </x:c>
      <x:c r="M72" s="27" t="str">
        <x:v>Cancelada</x:v>
      </x:c>
    </x:row>
    <x:row r="73">
      <x:c r="A73" s="27" t="n">
        <x:v>72</x:v>
      </x:c>
      <x:c r="B73" s="30" t="n">
        <x:v>45700</x:v>
      </x:c>
      <x:c r="C73" s="27" t="str">
        <x:v>Xbox Series X</x:v>
      </x:c>
      <x:c r="D73" s="27" t="str">
        <x:v>Console</x:v>
      </x:c>
      <x:c r="E73" s="27" t="str">
        <x:v>Centro-Oeste</x:v>
      </x:c>
      <x:c r="F73" s="27" t="str">
        <x:v>Marketplace</x:v>
      </x:c>
      <x:c r="G73" s="34" t="n">
        <x:v>2</x:v>
      </x:c>
      <x:c r="H73" s="32" t="n">
        <x:v>3599</x:v>
      </x:c>
      <x:c r="I73" s="32" t="n">
        <x:f>G73*H73</x:f>
        <x:v>7198</x:v>
      </x:c>
      <x:c r="J73" s="32" t="n">
        <x:v>3050</x:v>
      </x:c>
      <x:c r="K73" s="32" t="n">
        <x:f>G73*J73</x:f>
        <x:v>6100</x:v>
      </x:c>
      <x:c r="L73" s="32" t="n">
        <x:f>I73-K73</x:f>
        <x:v>1098</x:v>
      </x:c>
      <x:c r="M73" s="27" t="str">
        <x:v>Concluída</x:v>
      </x:c>
    </x:row>
    <x:row r="74">
      <x:c r="A74" s="27" t="n">
        <x:v>73</x:v>
      </x:c>
      <x:c r="B74" s="30" t="n">
        <x:v>45825</x:v>
      </x:c>
      <x:c r="C74" s="27" t="str">
        <x:v>Gift Card Xbox</x:v>
      </x:c>
      <x:c r="D74" s="27" t="str">
        <x:v>Serviço</x:v>
      </x:c>
      <x:c r="E74" s="27" t="str">
        <x:v>Sul</x:v>
      </x:c>
      <x:c r="F74" s="27" t="str">
        <x:v>Parceiro</x:v>
      </x:c>
      <x:c r="G74" s="34" t="n">
        <x:v>53</x:v>
      </x:c>
      <x:c r="H74" s="32" t="n">
        <x:v>100</x:v>
      </x:c>
      <x:c r="I74" s="32" t="n">
        <x:f>G74*H74</x:f>
        <x:v>5300</x:v>
      </x:c>
      <x:c r="J74" s="32" t="n">
        <x:v>70</x:v>
      </x:c>
      <x:c r="K74" s="32" t="n">
        <x:f>G74*J74</x:f>
        <x:v>3710</x:v>
      </x:c>
      <x:c r="L74" s="32" t="n">
        <x:f>I74-K74</x:f>
        <x:v>1590</x:v>
      </x:c>
      <x:c r="M74" s="27" t="str">
        <x:v>Concluída</x:v>
      </x:c>
    </x:row>
    <x:row r="75">
      <x:c r="A75" s="27" t="n">
        <x:v>74</x:v>
      </x:c>
      <x:c r="B75" s="30" t="n">
        <x:v>45699</x:v>
      </x:c>
      <x:c r="C75" s="27" t="str">
        <x:v>Controle Xbox Wireless</x:v>
      </x:c>
      <x:c r="D75" s="27" t="str">
        <x:v>Acessório</x:v>
      </x:c>
      <x:c r="E75" s="27" t="str">
        <x:v>Centro-Oeste</x:v>
      </x:c>
      <x:c r="F75" s="27" t="str">
        <x:v>Loja Online</x:v>
      </x:c>
      <x:c r="G75" s="34" t="n">
        <x:v>2</x:v>
      </x:c>
      <x:c r="H75" s="32" t="n">
        <x:v>449</x:v>
      </x:c>
      <x:c r="I75" s="32" t="n">
        <x:f>G75*H75</x:f>
        <x:v>898</x:v>
      </x:c>
      <x:c r="J75" s="32" t="n">
        <x:v>255</x:v>
      </x:c>
      <x:c r="K75" s="32" t="n">
        <x:f>G75*J75</x:f>
        <x:v>510</x:v>
      </x:c>
      <x:c r="L75" s="32" t="n">
        <x:f>I75-K75</x:f>
        <x:v>388</x:v>
      </x:c>
      <x:c r="M75" s="27" t="str">
        <x:v>Concluída</x:v>
      </x:c>
    </x:row>
    <x:row r="76">
      <x:c r="A76" s="27" t="n">
        <x:v>75</x:v>
      </x:c>
      <x:c r="B76" s="30" t="n">
        <x:v>45991</x:v>
      </x:c>
      <x:c r="C76" s="27" t="str">
        <x:v>Xbox Series S</x:v>
      </x:c>
      <x:c r="D76" s="27" t="str">
        <x:v>Console</x:v>
      </x:c>
      <x:c r="E76" s="27" t="str">
        <x:v>Sudeste</x:v>
      </x:c>
      <x:c r="F76" s="27" t="str">
        <x:v>Loja Online</x:v>
      </x:c>
      <x:c r="G76" s="34" t="n">
        <x:v>2</x:v>
      </x:c>
      <x:c r="H76" s="32" t="n">
        <x:v>2159</x:v>
      </x:c>
      <x:c r="I76" s="32" t="n">
        <x:f>G76*H76</x:f>
        <x:v>4318</x:v>
      </x:c>
      <x:c r="J76" s="32" t="n">
        <x:v>1836</x:v>
      </x:c>
      <x:c r="K76" s="32" t="n">
        <x:f>G76*J76</x:f>
        <x:v>3672</x:v>
      </x:c>
      <x:c r="L76" s="32" t="n">
        <x:f>I76-K76</x:f>
        <x:v>646</x:v>
      </x:c>
      <x:c r="M76" s="27" t="str">
        <x:v>Cancelada</x:v>
      </x:c>
    </x:row>
    <x:row r="77">
      <x:c r="A77" s="27" t="n">
        <x:v>76</x:v>
      </x:c>
      <x:c r="B77" s="30" t="n">
        <x:v>45780</x:v>
      </x:c>
      <x:c r="C77" s="27" t="str">
        <x:v>Xbox Game Pass Ultimate</x:v>
      </x:c>
      <x:c r="D77" s="27" t="str">
        <x:v>Assinatura</x:v>
      </x:c>
      <x:c r="E77" s="27" t="str">
        <x:v>Sul</x:v>
      </x:c>
      <x:c r="F77" s="27" t="str">
        <x:v>Parceiro</x:v>
      </x:c>
      <x:c r="G77" s="34" t="n">
        <x:v>77</x:v>
      </x:c>
      <x:c r="H77" s="32" t="n">
        <x:v>56</x:v>
      </x:c>
      <x:c r="I77" s="32" t="n">
        <x:f>G77*H77</x:f>
        <x:v>4312</x:v>
      </x:c>
      <x:c r="J77" s="32" t="n">
        <x:v>25</x:v>
      </x:c>
      <x:c r="K77" s="32" t="n">
        <x:f>G77*J77</x:f>
        <x:v>1925</x:v>
      </x:c>
      <x:c r="L77" s="32" t="n">
        <x:f>I77-K77</x:f>
        <x:v>2387</x:v>
      </x:c>
      <x:c r="M77" s="27" t="str">
        <x:v>Concluída</x:v>
      </x:c>
    </x:row>
    <x:row r="78">
      <x:c r="A78" s="27" t="n">
        <x:v>77</x:v>
      </x:c>
      <x:c r="B78" s="30" t="n">
        <x:v>45846</x:v>
      </x:c>
      <x:c r="C78" s="27" t="str">
        <x:v>Controle Xbox Wireless</x:v>
      </x:c>
      <x:c r="D78" s="27" t="str">
        <x:v>Acessório</x:v>
      </x:c>
      <x:c r="E78" s="27" t="str">
        <x:v>Sul</x:v>
      </x:c>
      <x:c r="F78" s="27" t="str">
        <x:v>Loja Online</x:v>
      </x:c>
      <x:c r="G78" s="34" t="n">
        <x:v>6</x:v>
      </x:c>
      <x:c r="H78" s="32" t="n">
        <x:v>449</x:v>
      </x:c>
      <x:c r="I78" s="32" t="n">
        <x:f>G78*H78</x:f>
        <x:v>2694</x:v>
      </x:c>
      <x:c r="J78" s="32" t="n">
        <x:v>255</x:v>
      </x:c>
      <x:c r="K78" s="32" t="n">
        <x:f>G78*J78</x:f>
        <x:v>1530</x:v>
      </x:c>
      <x:c r="L78" s="32" t="n">
        <x:f>I78-K78</x:f>
        <x:v>1164</x:v>
      </x:c>
      <x:c r="M78" s="27" t="str">
        <x:v>Concluída</x:v>
      </x:c>
    </x:row>
    <x:row r="79">
      <x:c r="A79" s="27" t="n">
        <x:v>78</x:v>
      </x:c>
      <x:c r="B79" s="30" t="n">
        <x:v>45817</x:v>
      </x:c>
      <x:c r="C79" s="27" t="str">
        <x:v>Xbox Series X</x:v>
      </x:c>
      <x:c r="D79" s="27" t="str">
        <x:v>Console</x:v>
      </x:c>
      <x:c r="E79" s="27" t="str">
        <x:v>Norte</x:v>
      </x:c>
      <x:c r="F79" s="27" t="str">
        <x:v>Parceiro</x:v>
      </x:c>
      <x:c r="G79" s="34" t="n">
        <x:v>6</x:v>
      </x:c>
      <x:c r="H79" s="32" t="n">
        <x:v>3799</x:v>
      </x:c>
      <x:c r="I79" s="32" t="n">
        <x:f>G79*H79</x:f>
        <x:v>22794</x:v>
      </x:c>
      <x:c r="J79" s="32" t="n">
        <x:v>2989</x:v>
      </x:c>
      <x:c r="K79" s="32" t="n">
        <x:f>G79*J79</x:f>
        <x:v>17934</x:v>
      </x:c>
      <x:c r="L79" s="32" t="n">
        <x:f>I79-K79</x:f>
        <x:v>4860</x:v>
      </x:c>
      <x:c r="M79" s="27" t="str">
        <x:v>Concluída</x:v>
      </x:c>
    </x:row>
    <x:row r="80">
      <x:c r="A80" s="27" t="n">
        <x:v>79</x:v>
      </x:c>
      <x:c r="B80" s="30" t="n">
        <x:v>45710</x:v>
      </x:c>
      <x:c r="C80" s="27" t="str">
        <x:v>Xbox Game Pass Core</x:v>
      </x:c>
      <x:c r="D80" s="27" t="str">
        <x:v>Assinatura</x:v>
      </x:c>
      <x:c r="E80" s="27" t="str">
        <x:v>Nordeste</x:v>
      </x:c>
      <x:c r="F80" s="27" t="str">
        <x:v>Loja Online</x:v>
      </x:c>
      <x:c r="G80" s="34" t="n">
        <x:v>77</x:v>
      </x:c>
      <x:c r="H80" s="32" t="n">
        <x:v>31</x:v>
      </x:c>
      <x:c r="I80" s="32" t="n">
        <x:f>G80*H80</x:f>
        <x:v>2387</x:v>
      </x:c>
      <x:c r="J80" s="32" t="n">
        <x:v>15</x:v>
      </x:c>
      <x:c r="K80" s="32" t="n">
        <x:f>G80*J80</x:f>
        <x:v>1155</x:v>
      </x:c>
      <x:c r="L80" s="32" t="n">
        <x:f>I80-K80</x:f>
        <x:v>1232</x:v>
      </x:c>
      <x:c r="M80" s="27" t="str">
        <x:v>Concluída</x:v>
      </x:c>
    </x:row>
    <x:row r="81">
      <x:c r="A81" s="27" t="n">
        <x:v>80</x:v>
      </x:c>
      <x:c r="B81" s="30" t="n">
        <x:v>45996</x:v>
      </x:c>
      <x:c r="C81" s="27" t="str">
        <x:v>Gift Card Xbox</x:v>
      </x:c>
      <x:c r="D81" s="27" t="str">
        <x:v>Serviço</x:v>
      </x:c>
      <x:c r="E81" s="27" t="str">
        <x:v>Nordeste</x:v>
      </x:c>
      <x:c r="F81" s="27" t="str">
        <x:v>Loja Online</x:v>
      </x:c>
      <x:c r="G81" s="34" t="n">
        <x:v>48</x:v>
      </x:c>
      <x:c r="H81" s="32" t="n">
        <x:v>90</x:v>
      </x:c>
      <x:c r="I81" s="32" t="n">
        <x:f>G81*H81</x:f>
        <x:v>4320</x:v>
      </x:c>
      <x:c r="J81" s="32" t="n">
        <x:v>70</x:v>
      </x:c>
      <x:c r="K81" s="32" t="n">
        <x:f>G81*J81</x:f>
        <x:v>3360</x:v>
      </x:c>
      <x:c r="L81" s="32" t="n">
        <x:f>I81-K81</x:f>
        <x:v>960</x:v>
      </x:c>
      <x:c r="M81" s="27" t="str">
        <x:v>Concluída</x:v>
      </x:c>
    </x:row>
    <x:row r="82">
      <x:c r="A82" s="27" t="n">
        <x:v>81</x:v>
      </x:c>
      <x:c r="B82" s="30" t="n">
        <x:v>45712</x:v>
      </x:c>
      <x:c r="C82" s="27" t="str">
        <x:v>SSD Expansion Card</x:v>
      </x:c>
      <x:c r="D82" s="27" t="str">
        <x:v>Acessório</x:v>
      </x:c>
      <x:c r="E82" s="27" t="str">
        <x:v>Centro-Oeste</x:v>
      </x:c>
      <x:c r="F82" s="27" t="str">
        <x:v>Loja Física</x:v>
      </x:c>
      <x:c r="G82" s="34" t="n">
        <x:v>15</x:v>
      </x:c>
      <x:c r="H82" s="32" t="n">
        <x:v>1234</x:v>
      </x:c>
      <x:c r="I82" s="32" t="n">
        <x:f>G82*H82</x:f>
        <x:v>18510</x:v>
      </x:c>
      <x:c r="J82" s="32" t="n">
        <x:v>900</x:v>
      </x:c>
      <x:c r="K82" s="32" t="n">
        <x:f>G82*J82</x:f>
        <x:v>13500</x:v>
      </x:c>
      <x:c r="L82" s="32" t="n">
        <x:f>I82-K82</x:f>
        <x:v>5010</x:v>
      </x:c>
      <x:c r="M82" s="27" t="str">
        <x:v>Concluída</x:v>
      </x:c>
    </x:row>
    <x:row r="83">
      <x:c r="A83" s="27" t="n">
        <x:v>82</x:v>
      </x:c>
      <x:c r="B83" s="30" t="n">
        <x:v>45925</x:v>
      </x:c>
      <x:c r="C83" s="27" t="str">
        <x:v>Xbox Game Pass Ultimate</x:v>
      </x:c>
      <x:c r="D83" s="27" t="str">
        <x:v>Assinatura</x:v>
      </x:c>
      <x:c r="E83" s="27" t="str">
        <x:v>Nordeste</x:v>
      </x:c>
      <x:c r="F83" s="27" t="str">
        <x:v>Parceiro</x:v>
      </x:c>
      <x:c r="G83" s="34" t="n">
        <x:v>80</x:v>
      </x:c>
      <x:c r="H83" s="32" t="n">
        <x:v>59</x:v>
      </x:c>
      <x:c r="I83" s="32" t="n">
        <x:f>G83*H83</x:f>
        <x:v>4720</x:v>
      </x:c>
      <x:c r="J83" s="32" t="n">
        <x:v>25</x:v>
      </x:c>
      <x:c r="K83" s="32" t="n">
        <x:f>G83*J83</x:f>
        <x:v>2000</x:v>
      </x:c>
      <x:c r="L83" s="32" t="n">
        <x:f>I83-K83</x:f>
        <x:v>2720</x:v>
      </x:c>
      <x:c r="M83" s="27" t="str">
        <x:v>Concluída</x:v>
      </x:c>
    </x:row>
    <x:row r="84">
      <x:c r="A84" s="27" t="n">
        <x:v>83</x:v>
      </x:c>
      <x:c r="B84" s="30" t="n">
        <x:v>45702</x:v>
      </x:c>
      <x:c r="C84" s="27" t="str">
        <x:v>Xbox Game Pass Core</x:v>
      </x:c>
      <x:c r="D84" s="27" t="str">
        <x:v>Assinatura</x:v>
      </x:c>
      <x:c r="E84" s="27" t="str">
        <x:v>Nordeste</x:v>
      </x:c>
      <x:c r="F84" s="27" t="str">
        <x:v>Parceiro</x:v>
      </x:c>
      <x:c r="G84" s="34" t="n">
        <x:v>64</x:v>
      </x:c>
      <x:c r="H84" s="32" t="n">
        <x:v>36</x:v>
      </x:c>
      <x:c r="I84" s="32" t="n">
        <x:f>G84*H84</x:f>
        <x:v>2304</x:v>
      </x:c>
      <x:c r="J84" s="32" t="n">
        <x:v>15</x:v>
      </x:c>
      <x:c r="K84" s="32" t="n">
        <x:f>G84*J84</x:f>
        <x:v>960</x:v>
      </x:c>
      <x:c r="L84" s="32" t="n">
        <x:f>I84-K84</x:f>
        <x:v>1344</x:v>
      </x:c>
      <x:c r="M84" s="27" t="str">
        <x:v>Concluída</x:v>
      </x:c>
    </x:row>
    <x:row r="85">
      <x:c r="A85" s="27" t="n">
        <x:v>84</x:v>
      </x:c>
      <x:c r="B85" s="30" t="n">
        <x:v>45911</x:v>
      </x:c>
      <x:c r="C85" s="27" t="str">
        <x:v>Xbox Series X</x:v>
      </x:c>
      <x:c r="D85" s="27" t="str">
        <x:v>Console</x:v>
      </x:c>
      <x:c r="E85" s="27" t="str">
        <x:v>Nordeste</x:v>
      </x:c>
      <x:c r="F85" s="27" t="str">
        <x:v>Marketplace</x:v>
      </x:c>
      <x:c r="G85" s="34" t="n">
        <x:v>3</x:v>
      </x:c>
      <x:c r="H85" s="32" t="n">
        <x:v>3999</x:v>
      </x:c>
      <x:c r="I85" s="32" t="n">
        <x:f>G85*H85</x:f>
        <x:v>11997</x:v>
      </x:c>
      <x:c r="J85" s="32" t="n">
        <x:v>3050</x:v>
      </x:c>
      <x:c r="K85" s="32" t="n">
        <x:f>G85*J85</x:f>
        <x:v>9150</x:v>
      </x:c>
      <x:c r="L85" s="32" t="n">
        <x:f>I85-K85</x:f>
        <x:v>2847</x:v>
      </x:c>
      <x:c r="M85" s="27" t="str">
        <x:v>Concluída</x:v>
      </x:c>
    </x:row>
    <x:row r="86">
      <x:c r="A86" s="27" t="n">
        <x:v>85</x:v>
      </x:c>
      <x:c r="B86" s="30" t="n">
        <x:v>45963</x:v>
      </x:c>
      <x:c r="C86" s="27" t="str">
        <x:v>Controle Xbox Wireless</x:v>
      </x:c>
      <x:c r="D86" s="27" t="str">
        <x:v>Acessório</x:v>
      </x:c>
      <x:c r="E86" s="27" t="str">
        <x:v>Nordeste</x:v>
      </x:c>
      <x:c r="F86" s="27" t="str">
        <x:v>Loja Online</x:v>
      </x:c>
      <x:c r="G86" s="34" t="n">
        <x:v>7</x:v>
      </x:c>
      <x:c r="H86" s="32" t="n">
        <x:v>404</x:v>
      </x:c>
      <x:c r="I86" s="32" t="n">
        <x:f>G86*H86</x:f>
        <x:v>2828</x:v>
      </x:c>
      <x:c r="J86" s="32" t="n">
        <x:v>255</x:v>
      </x:c>
      <x:c r="K86" s="32" t="n">
        <x:f>G86*J86</x:f>
        <x:v>1785</x:v>
      </x:c>
      <x:c r="L86" s="32" t="n">
        <x:f>I86-K86</x:f>
        <x:v>1043</x:v>
      </x:c>
      <x:c r="M86" s="27" t="str">
        <x:v>Concluída</x:v>
      </x:c>
    </x:row>
    <x:row r="87">
      <x:c r="A87" s="27" t="n">
        <x:v>86</x:v>
      </x:c>
      <x:c r="B87" s="30" t="n">
        <x:v>45908</x:v>
      </x:c>
      <x:c r="C87" s="27" t="str">
        <x:v>Gift Card Xbox</x:v>
      </x:c>
      <x:c r="D87" s="27" t="str">
        <x:v>Serviço</x:v>
      </x:c>
      <x:c r="E87" s="27" t="str">
        <x:v>Norte</x:v>
      </x:c>
      <x:c r="F87" s="27" t="str">
        <x:v>Marketplace</x:v>
      </x:c>
      <x:c r="G87" s="34" t="n">
        <x:v>67</x:v>
      </x:c>
      <x:c r="H87" s="32" t="n">
        <x:v>105</x:v>
      </x:c>
      <x:c r="I87" s="32" t="n">
        <x:f>G87*H87</x:f>
        <x:v>7035</x:v>
      </x:c>
      <x:c r="J87" s="32" t="n">
        <x:v>69</x:v>
      </x:c>
      <x:c r="K87" s="32" t="n">
        <x:f>G87*J87</x:f>
        <x:v>4623</x:v>
      </x:c>
      <x:c r="L87" s="32" t="n">
        <x:f>I87-K87</x:f>
        <x:v>2412</x:v>
      </x:c>
      <x:c r="M87" s="27" t="str">
        <x:v>Concluída</x:v>
      </x:c>
    </x:row>
    <x:row r="88">
      <x:c r="A88" s="27" t="n">
        <x:v>87</x:v>
      </x:c>
      <x:c r="B88" s="30" t="n">
        <x:v>45808</x:v>
      </x:c>
      <x:c r="C88" s="27" t="str">
        <x:v>Xbox Series S</x:v>
      </x:c>
      <x:c r="D88" s="27" t="str">
        <x:v>Console</x:v>
      </x:c>
      <x:c r="E88" s="27" t="str">
        <x:v>Sul</x:v>
      </x:c>
      <x:c r="F88" s="27" t="str">
        <x:v>Parceiro</x:v>
      </x:c>
      <x:c r="G88" s="34" t="n">
        <x:v>3</x:v>
      </x:c>
      <x:c r="H88" s="32" t="n">
        <x:v>2399</x:v>
      </x:c>
      <x:c r="I88" s="32" t="n">
        <x:f>G88*H88</x:f>
        <x:v>7197</x:v>
      </x:c>
      <x:c r="J88" s="32" t="n">
        <x:v>1800</x:v>
      </x:c>
      <x:c r="K88" s="32" t="n">
        <x:f>G88*J88</x:f>
        <x:v>5400</x:v>
      </x:c>
      <x:c r="L88" s="32" t="n">
        <x:f>I88-K88</x:f>
        <x:v>1797</x:v>
      </x:c>
      <x:c r="M88" s="27" t="str">
        <x:v>Concluída</x:v>
      </x:c>
    </x:row>
    <x:row r="89">
      <x:c r="A89" s="27" t="n">
        <x:v>88</x:v>
      </x:c>
      <x:c r="B89" s="30" t="n">
        <x:v>45875</x:v>
      </x:c>
      <x:c r="C89" s="27" t="str">
        <x:v>Headset Xbox</x:v>
      </x:c>
      <x:c r="D89" s="27" t="str">
        <x:v>Acessório</x:v>
      </x:c>
      <x:c r="E89" s="27" t="str">
        <x:v>Norte</x:v>
      </x:c>
      <x:c r="F89" s="27" t="str">
        <x:v>Loja Física</x:v>
      </x:c>
      <x:c r="G89" s="34" t="n">
        <x:v>15</x:v>
      </x:c>
      <x:c r="H89" s="32" t="n">
        <x:v>599</x:v>
      </x:c>
      <x:c r="I89" s="32" t="n">
        <x:f>G89*H89</x:f>
        <x:v>8985</x:v>
      </x:c>
      <x:c r="J89" s="32" t="n">
        <x:v>350</x:v>
      </x:c>
      <x:c r="K89" s="32" t="n">
        <x:f>G89*J89</x:f>
        <x:v>5250</x:v>
      </x:c>
      <x:c r="L89" s="32" t="n">
        <x:f>I89-K89</x:f>
        <x:v>3735</x:v>
      </x:c>
      <x:c r="M89" s="27" t="str">
        <x:v>Concluída</x:v>
      </x:c>
    </x:row>
    <x:row r="90">
      <x:c r="A90" s="27" t="n">
        <x:v>89</x:v>
      </x:c>
      <x:c r="B90" s="30" t="n">
        <x:v>45776</x:v>
      </x:c>
      <x:c r="C90" s="27" t="str">
        <x:v>Controle Xbox Wireless</x:v>
      </x:c>
      <x:c r="D90" s="27" t="str">
        <x:v>Acessório</x:v>
      </x:c>
      <x:c r="E90" s="27" t="str">
        <x:v>Sudeste</x:v>
      </x:c>
      <x:c r="F90" s="27" t="str">
        <x:v>Marketplace</x:v>
      </x:c>
      <x:c r="G90" s="34" t="n">
        <x:v>18</x:v>
      </x:c>
      <x:c r="H90" s="32" t="n">
        <x:v>427</x:v>
      </x:c>
      <x:c r="I90" s="32" t="n">
        <x:f>G90*H90</x:f>
        <x:v>7686</x:v>
      </x:c>
      <x:c r="J90" s="32" t="n">
        <x:v>255</x:v>
      </x:c>
      <x:c r="K90" s="32" t="n">
        <x:f>G90*J90</x:f>
        <x:v>4590</x:v>
      </x:c>
      <x:c r="L90" s="32" t="n">
        <x:f>I90-K90</x:f>
        <x:v>3096</x:v>
      </x:c>
      <x:c r="M90" s="27" t="str">
        <x:v>Concluída</x:v>
      </x:c>
    </x:row>
    <x:row r="91">
      <x:c r="A91" s="27" t="n">
        <x:v>90</x:v>
      </x:c>
      <x:c r="B91" s="30" t="n">
        <x:v>45905</x:v>
      </x:c>
      <x:c r="C91" s="27" t="str">
        <x:v>Xbox Game Pass Core</x:v>
      </x:c>
      <x:c r="D91" s="27" t="str">
        <x:v>Assinatura</x:v>
      </x:c>
      <x:c r="E91" s="27" t="str">
        <x:v>Nordeste</x:v>
      </x:c>
      <x:c r="F91" s="27" t="str">
        <x:v>Loja Física</x:v>
      </x:c>
      <x:c r="G91" s="34" t="n">
        <x:v>29</x:v>
      </x:c>
      <x:c r="H91" s="32" t="n">
        <x:v>34</x:v>
      </x:c>
      <x:c r="I91" s="32" t="n">
        <x:f>G91*H91</x:f>
        <x:v>986</x:v>
      </x:c>
      <x:c r="J91" s="32" t="n">
        <x:v>15</x:v>
      </x:c>
      <x:c r="K91" s="32" t="n">
        <x:f>G91*J91</x:f>
        <x:v>435</x:v>
      </x:c>
      <x:c r="L91" s="32" t="n">
        <x:f>I91-K91</x:f>
        <x:v>551</x:v>
      </x:c>
      <x:c r="M91" s="27" t="str">
        <x:v>Cancelada</x:v>
      </x:c>
    </x:row>
    <x:row r="92">
      <x:c r="A92" s="27" t="n">
        <x:v>91</x:v>
      </x:c>
      <x:c r="B92" s="30" t="n">
        <x:v>45749</x:v>
      </x:c>
      <x:c r="C92" s="27" t="str">
        <x:v>Headset Xbox</x:v>
      </x:c>
      <x:c r="D92" s="27" t="str">
        <x:v>Acessório</x:v>
      </x:c>
      <x:c r="E92" s="27" t="str">
        <x:v>Nordeste</x:v>
      </x:c>
      <x:c r="F92" s="27" t="str">
        <x:v>Loja Online</x:v>
      </x:c>
      <x:c r="G92" s="34" t="n">
        <x:v>5</x:v>
      </x:c>
      <x:c r="H92" s="32" t="n">
        <x:v>599</x:v>
      </x:c>
      <x:c r="I92" s="32" t="n">
        <x:f>G92*H92</x:f>
        <x:v>2995</x:v>
      </x:c>
      <x:c r="J92" s="32" t="n">
        <x:v>343</x:v>
      </x:c>
      <x:c r="K92" s="32" t="n">
        <x:f>G92*J92</x:f>
        <x:v>1715</x:v>
      </x:c>
      <x:c r="L92" s="32" t="n">
        <x:f>I92-K92</x:f>
        <x:v>1280</x:v>
      </x:c>
      <x:c r="M92" s="27" t="str">
        <x:v>Concluída</x:v>
      </x:c>
    </x:row>
    <x:row r="93">
      <x:c r="A93" s="27" t="n">
        <x:v>92</x:v>
      </x:c>
      <x:c r="B93" s="30" t="n">
        <x:v>45941</x:v>
      </x:c>
      <x:c r="C93" s="27" t="str">
        <x:v>Xbox Series X</x:v>
      </x:c>
      <x:c r="D93" s="27" t="str">
        <x:v>Console</x:v>
      </x:c>
      <x:c r="E93" s="27" t="str">
        <x:v>Nordeste</x:v>
      </x:c>
      <x:c r="F93" s="27" t="str">
        <x:v>Marketplace</x:v>
      </x:c>
      <x:c r="G93" s="34" t="n">
        <x:v>7</x:v>
      </x:c>
      <x:c r="H93" s="32" t="n">
        <x:v>4199</x:v>
      </x:c>
      <x:c r="I93" s="32" t="n">
        <x:f>G93*H93</x:f>
        <x:v>29393</x:v>
      </x:c>
      <x:c r="J93" s="32" t="n">
        <x:v>2989</x:v>
      </x:c>
      <x:c r="K93" s="32" t="n">
        <x:f>G93*J93</x:f>
        <x:v>20923</x:v>
      </x:c>
      <x:c r="L93" s="32" t="n">
        <x:f>I93-K93</x:f>
        <x:v>8470</x:v>
      </x:c>
      <x:c r="M93" s="27" t="str">
        <x:v>Concluída</x:v>
      </x:c>
    </x:row>
    <x:row r="94">
      <x:c r="A94" s="27" t="n">
        <x:v>93</x:v>
      </x:c>
      <x:c r="B94" s="30" t="n">
        <x:v>45951</x:v>
      </x:c>
      <x:c r="C94" s="27" t="str">
        <x:v>Xbox Series X</x:v>
      </x:c>
      <x:c r="D94" s="27" t="str">
        <x:v>Console</x:v>
      </x:c>
      <x:c r="E94" s="27" t="str">
        <x:v>Nordeste</x:v>
      </x:c>
      <x:c r="F94" s="27" t="str">
        <x:v>Parceiro</x:v>
      </x:c>
      <x:c r="G94" s="34" t="n">
        <x:v>3</x:v>
      </x:c>
      <x:c r="H94" s="32" t="n">
        <x:v>3799</x:v>
      </x:c>
      <x:c r="I94" s="32" t="n">
        <x:f>G94*H94</x:f>
        <x:v>11397</x:v>
      </x:c>
      <x:c r="J94" s="32" t="n">
        <x:v>2989</x:v>
      </x:c>
      <x:c r="K94" s="32" t="n">
        <x:f>G94*J94</x:f>
        <x:v>8967</x:v>
      </x:c>
      <x:c r="L94" s="32" t="n">
        <x:f>I94-K94</x:f>
        <x:v>2430</x:v>
      </x:c>
      <x:c r="M94" s="27" t="str">
        <x:v>Concluída</x:v>
      </x:c>
    </x:row>
    <x:row r="95">
      <x:c r="A95" s="27" t="n">
        <x:v>94</x:v>
      </x:c>
      <x:c r="B95" s="30" t="n">
        <x:v>45902</x:v>
      </x:c>
      <x:c r="C95" s="27" t="str">
        <x:v>Controle Xbox Wireless</x:v>
      </x:c>
      <x:c r="D95" s="27" t="str">
        <x:v>Acessório</x:v>
      </x:c>
      <x:c r="E95" s="27" t="str">
        <x:v>Sudeste</x:v>
      </x:c>
      <x:c r="F95" s="27" t="str">
        <x:v>Loja Online</x:v>
      </x:c>
      <x:c r="G95" s="34" t="n">
        <x:v>3</x:v>
      </x:c>
      <x:c r="H95" s="32" t="n">
        <x:v>404</x:v>
      </x:c>
      <x:c r="I95" s="32" t="n">
        <x:f>G95*H95</x:f>
        <x:v>1212</x:v>
      </x:c>
      <x:c r="J95" s="32" t="n">
        <x:v>255</x:v>
      </x:c>
      <x:c r="K95" s="32" t="n">
        <x:f>G95*J95</x:f>
        <x:v>765</x:v>
      </x:c>
      <x:c r="L95" s="32" t="n">
        <x:f>I95-K95</x:f>
        <x:v>447</x:v>
      </x:c>
      <x:c r="M95" s="27" t="str">
        <x:v>Concluída</x:v>
      </x:c>
    </x:row>
    <x:row r="96">
      <x:c r="A96" s="27" t="n">
        <x:v>95</x:v>
      </x:c>
      <x:c r="B96" s="30" t="n">
        <x:v>45946</x:v>
      </x:c>
      <x:c r="C96" s="27" t="str">
        <x:v>Xbox Game Pass Ultimate</x:v>
      </x:c>
      <x:c r="D96" s="27" t="str">
        <x:v>Assinatura</x:v>
      </x:c>
      <x:c r="E96" s="27" t="str">
        <x:v>Nordeste</x:v>
      </x:c>
      <x:c r="F96" s="27" t="str">
        <x:v>Loja Online</x:v>
      </x:c>
      <x:c r="G96" s="34" t="n">
        <x:v>20</x:v>
      </x:c>
      <x:c r="H96" s="32" t="n">
        <x:v>62</x:v>
      </x:c>
      <x:c r="I96" s="32" t="n">
        <x:f>G96*H96</x:f>
        <x:v>1240</x:v>
      </x:c>
      <x:c r="J96" s="32" t="n">
        <x:v>26</x:v>
      </x:c>
      <x:c r="K96" s="32" t="n">
        <x:f>G96*J96</x:f>
        <x:v>520</x:v>
      </x:c>
      <x:c r="L96" s="32" t="n">
        <x:f>I96-K96</x:f>
        <x:v>720</x:v>
      </x:c>
      <x:c r="M96" s="27" t="str">
        <x:v>Cancelada</x:v>
      </x:c>
    </x:row>
    <x:row r="97">
      <x:c r="A97" s="27" t="n">
        <x:v>96</x:v>
      </x:c>
      <x:c r="B97" s="30" t="n">
        <x:v>45925</x:v>
      </x:c>
      <x:c r="C97" s="27" t="str">
        <x:v>Xbox Game Pass Core</x:v>
      </x:c>
      <x:c r="D97" s="27" t="str">
        <x:v>Assinatura</x:v>
      </x:c>
      <x:c r="E97" s="27" t="str">
        <x:v>Centro-Oeste</x:v>
      </x:c>
      <x:c r="F97" s="27" t="str">
        <x:v>Parceiro</x:v>
      </x:c>
      <x:c r="G97" s="34" t="n">
        <x:v>43</x:v>
      </x:c>
      <x:c r="H97" s="32" t="n">
        <x:v>36</x:v>
      </x:c>
      <x:c r="I97" s="32" t="n">
        <x:f>G97*H97</x:f>
        <x:v>1548</x:v>
      </x:c>
      <x:c r="J97" s="32" t="n">
        <x:v>15</x:v>
      </x:c>
      <x:c r="K97" s="32" t="n">
        <x:f>G97*J97</x:f>
        <x:v>645</x:v>
      </x:c>
      <x:c r="L97" s="32" t="n">
        <x:f>I97-K97</x:f>
        <x:v>903</x:v>
      </x:c>
      <x:c r="M97" s="27" t="str">
        <x:v>Concluída</x:v>
      </x:c>
    </x:row>
    <x:row r="98">
      <x:c r="A98" s="27" t="n">
        <x:v>97</x:v>
      </x:c>
      <x:c r="B98" s="30" t="n">
        <x:v>45970</x:v>
      </x:c>
      <x:c r="C98" s="27" t="str">
        <x:v>Xbox Series X</x:v>
      </x:c>
      <x:c r="D98" s="27" t="str">
        <x:v>Console</x:v>
      </x:c>
      <x:c r="E98" s="27" t="str">
        <x:v>Sudeste</x:v>
      </x:c>
      <x:c r="F98" s="27" t="str">
        <x:v>Marketplace</x:v>
      </x:c>
      <x:c r="G98" s="34" t="n">
        <x:v>3</x:v>
      </x:c>
      <x:c r="H98" s="32" t="n">
        <x:v>3599</x:v>
      </x:c>
      <x:c r="I98" s="32" t="n">
        <x:f>G98*H98</x:f>
        <x:v>10797</x:v>
      </x:c>
      <x:c r="J98" s="32" t="n">
        <x:v>2989</x:v>
      </x:c>
      <x:c r="K98" s="32" t="n">
        <x:f>G98*J98</x:f>
        <x:v>8967</x:v>
      </x:c>
      <x:c r="L98" s="32" t="n">
        <x:f>I98-K98</x:f>
        <x:v>1830</x:v>
      </x:c>
      <x:c r="M98" s="27" t="str">
        <x:v>Concluída</x:v>
      </x:c>
    </x:row>
    <x:row r="99">
      <x:c r="A99" s="27" t="n">
        <x:v>98</x:v>
      </x:c>
      <x:c r="B99" s="30" t="n">
        <x:v>45746</x:v>
      </x:c>
      <x:c r="C99" s="27" t="str">
        <x:v>Xbox Game Pass Core</x:v>
      </x:c>
      <x:c r="D99" s="27" t="str">
        <x:v>Assinatura</x:v>
      </x:c>
      <x:c r="E99" s="27" t="str">
        <x:v>Norte</x:v>
      </x:c>
      <x:c r="F99" s="27" t="str">
        <x:v>Loja Online</x:v>
      </x:c>
      <x:c r="G99" s="34" t="n">
        <x:v>57</x:v>
      </x:c>
      <x:c r="H99" s="32" t="n">
        <x:v>36</x:v>
      </x:c>
      <x:c r="I99" s="32" t="n">
        <x:f>G99*H99</x:f>
        <x:v>2052</x:v>
      </x:c>
      <x:c r="J99" s="32" t="n">
        <x:v>15</x:v>
      </x:c>
      <x:c r="K99" s="32" t="n">
        <x:f>G99*J99</x:f>
        <x:v>855</x:v>
      </x:c>
      <x:c r="L99" s="32" t="n">
        <x:f>I99-K99</x:f>
        <x:v>1197</x:v>
      </x:c>
      <x:c r="M99" s="27" t="str">
        <x:v>Concluída</x:v>
      </x:c>
    </x:row>
    <x:row r="100">
      <x:c r="A100" s="27" t="n">
        <x:v>99</x:v>
      </x:c>
      <x:c r="B100" s="30" t="n">
        <x:v>45807</x:v>
      </x:c>
      <x:c r="C100" s="27" t="str">
        <x:v>SSD Expansion Card</x:v>
      </x:c>
      <x:c r="D100" s="27" t="str">
        <x:v>Acessório</x:v>
      </x:c>
      <x:c r="E100" s="27" t="str">
        <x:v>Sudeste</x:v>
      </x:c>
      <x:c r="F100" s="27" t="str">
        <x:v>Marketplace</x:v>
      </x:c>
      <x:c r="G100" s="34" t="n">
        <x:v>10</x:v>
      </x:c>
      <x:c r="H100" s="32" t="n">
        <x:v>1364</x:v>
      </x:c>
      <x:c r="I100" s="32" t="n">
        <x:f>G100*H100</x:f>
        <x:v>13640</x:v>
      </x:c>
      <x:c r="J100" s="32" t="n">
        <x:v>882</x:v>
      </x:c>
      <x:c r="K100" s="32" t="n">
        <x:f>G100*J100</x:f>
        <x:v>8820</x:v>
      </x:c>
      <x:c r="L100" s="32" t="n">
        <x:f>I100-K100</x:f>
        <x:v>4820</x:v>
      </x:c>
      <x:c r="M100" s="27" t="str">
        <x:v>Concluída</x:v>
      </x:c>
    </x:row>
    <x:row r="101">
      <x:c r="A101" s="27" t="n">
        <x:v>100</x:v>
      </x:c>
      <x:c r="B101" s="30" t="n">
        <x:v>45793</x:v>
      </x:c>
      <x:c r="C101" s="27" t="str">
        <x:v>Xbox Game Pass Core</x:v>
      </x:c>
      <x:c r="D101" s="27" t="str">
        <x:v>Assinatura</x:v>
      </x:c>
      <x:c r="E101" s="27" t="str">
        <x:v>Norte</x:v>
      </x:c>
      <x:c r="F101" s="27" t="str">
        <x:v>Marketplace</x:v>
      </x:c>
      <x:c r="G101" s="34" t="n">
        <x:v>74</x:v>
      </x:c>
      <x:c r="H101" s="32" t="n">
        <x:v>32</x:v>
      </x:c>
      <x:c r="I101" s="32" t="n">
        <x:f>G101*H101</x:f>
        <x:v>2368</x:v>
      </x:c>
      <x:c r="J101" s="32" t="n">
        <x:v>15</x:v>
      </x:c>
      <x:c r="K101" s="32" t="n">
        <x:f>G101*J101</x:f>
        <x:v>1110</x:v>
      </x:c>
      <x:c r="L101" s="32" t="n">
        <x:f>I101-K101</x:f>
        <x:v>1258</x:v>
      </x:c>
      <x:c r="M101" s="27" t="str">
        <x:v>Concluída</x:v>
      </x:c>
    </x:row>
    <x:row r="102">
      <x:c r="A102" s="27" t="n">
        <x:v>101</x:v>
      </x:c>
      <x:c r="B102" s="30" t="n">
        <x:v>45794</x:v>
      </x:c>
      <x:c r="C102" s="27" t="str">
        <x:v>Xbox Game Pass Ultimate</x:v>
      </x:c>
      <x:c r="D102" s="27" t="str">
        <x:v>Assinatura</x:v>
      </x:c>
      <x:c r="E102" s="27" t="str">
        <x:v>Sul</x:v>
      </x:c>
      <x:c r="F102" s="27" t="str">
        <x:v>Loja Online</x:v>
      </x:c>
      <x:c r="G102" s="34" t="n">
        <x:v>44</x:v>
      </x:c>
      <x:c r="H102" s="32" t="n">
        <x:v>59</x:v>
      </x:c>
      <x:c r="I102" s="32" t="n">
        <x:f>G102*H102</x:f>
        <x:v>2596</x:v>
      </x:c>
      <x:c r="J102" s="32" t="n">
        <x:v>25</x:v>
      </x:c>
      <x:c r="K102" s="32" t="n">
        <x:f>G102*J102</x:f>
        <x:v>1100</x:v>
      </x:c>
      <x:c r="L102" s="32" t="n">
        <x:f>I102-K102</x:f>
        <x:v>1496</x:v>
      </x:c>
      <x:c r="M102" s="27" t="str">
        <x:v>Concluída</x:v>
      </x:c>
    </x:row>
    <x:row r="103">
      <x:c r="A103" s="27" t="n">
        <x:v>102</x:v>
      </x:c>
      <x:c r="B103" s="30" t="n">
        <x:v>45897</x:v>
      </x:c>
      <x:c r="C103" s="27" t="str">
        <x:v>Xbox Series S</x:v>
      </x:c>
      <x:c r="D103" s="27" t="str">
        <x:v>Console</x:v>
      </x:c>
      <x:c r="E103" s="27" t="str">
        <x:v>Nordeste</x:v>
      </x:c>
      <x:c r="F103" s="27" t="str">
        <x:v>Parceiro</x:v>
      </x:c>
      <x:c r="G103" s="34" t="n">
        <x:v>5</x:v>
      </x:c>
      <x:c r="H103" s="32" t="n">
        <x:v>2519</x:v>
      </x:c>
      <x:c r="I103" s="32" t="n">
        <x:f>G103*H103</x:f>
        <x:v>12595</x:v>
      </x:c>
      <x:c r="J103" s="32" t="n">
        <x:v>1800</x:v>
      </x:c>
      <x:c r="K103" s="32" t="n">
        <x:f>G103*J103</x:f>
        <x:v>9000</x:v>
      </x:c>
      <x:c r="L103" s="32" t="n">
        <x:f>I103-K103</x:f>
        <x:v>3595</x:v>
      </x:c>
      <x:c r="M103" s="27" t="str">
        <x:v>Cancelada</x:v>
      </x:c>
    </x:row>
    <x:row r="104">
      <x:c r="A104" s="27" t="n">
        <x:v>103</x:v>
      </x:c>
      <x:c r="B104" s="30" t="n">
        <x:v>45964</x:v>
      </x:c>
      <x:c r="C104" s="27" t="str">
        <x:v>Xbox Series S</x:v>
      </x:c>
      <x:c r="D104" s="27" t="str">
        <x:v>Console</x:v>
      </x:c>
      <x:c r="E104" s="27" t="str">
        <x:v>Sudeste</x:v>
      </x:c>
      <x:c r="F104" s="27" t="str">
        <x:v>Parceiro</x:v>
      </x:c>
      <x:c r="G104" s="34" t="n">
        <x:v>5</x:v>
      </x:c>
      <x:c r="H104" s="32" t="n">
        <x:v>2399</x:v>
      </x:c>
      <x:c r="I104" s="32" t="n">
        <x:f>G104*H104</x:f>
        <x:v>11995</x:v>
      </x:c>
      <x:c r="J104" s="32" t="n">
        <x:v>1764</x:v>
      </x:c>
      <x:c r="K104" s="32" t="n">
        <x:f>G104*J104</x:f>
        <x:v>8820</x:v>
      </x:c>
      <x:c r="L104" s="32" t="n">
        <x:f>I104-K104</x:f>
        <x:v>3175</x:v>
      </x:c>
      <x:c r="M104" s="27" t="str">
        <x:v>Concluída</x:v>
      </x:c>
    </x:row>
    <x:row r="105">
      <x:c r="A105" s="27" t="n">
        <x:v>104</x:v>
      </x:c>
      <x:c r="B105" s="30" t="n">
        <x:v>45775</x:v>
      </x:c>
      <x:c r="C105" s="27" t="str">
        <x:v>Xbox Series S</x:v>
      </x:c>
      <x:c r="D105" s="27" t="str">
        <x:v>Console</x:v>
      </x:c>
      <x:c r="E105" s="27" t="str">
        <x:v>Norte</x:v>
      </x:c>
      <x:c r="F105" s="27" t="str">
        <x:v>Loja Online</x:v>
      </x:c>
      <x:c r="G105" s="34" t="n">
        <x:v>6</x:v>
      </x:c>
      <x:c r="H105" s="32" t="n">
        <x:v>2399</x:v>
      </x:c>
      <x:c r="I105" s="32" t="n">
        <x:f>G105*H105</x:f>
        <x:v>14394</x:v>
      </x:c>
      <x:c r="J105" s="32" t="n">
        <x:v>1836</x:v>
      </x:c>
      <x:c r="K105" s="32" t="n">
        <x:f>G105*J105</x:f>
        <x:v>11016</x:v>
      </x:c>
      <x:c r="L105" s="32" t="n">
        <x:f>I105-K105</x:f>
        <x:v>3378</x:v>
      </x:c>
      <x:c r="M105" s="27" t="str">
        <x:v>Cancelada</x:v>
      </x:c>
    </x:row>
    <x:row r="106">
      <x:c r="A106" s="27" t="n">
        <x:v>105</x:v>
      </x:c>
      <x:c r="B106" s="30" t="n">
        <x:v>45747</x:v>
      </x:c>
      <x:c r="C106" s="27" t="str">
        <x:v>Xbox Series X</x:v>
      </x:c>
      <x:c r="D106" s="27" t="str">
        <x:v>Console</x:v>
      </x:c>
      <x:c r="E106" s="27" t="str">
        <x:v>Centro-Oeste</x:v>
      </x:c>
      <x:c r="F106" s="27" t="str">
        <x:v>Parceiro</x:v>
      </x:c>
      <x:c r="G106" s="34" t="n">
        <x:v>2</x:v>
      </x:c>
      <x:c r="H106" s="32" t="n">
        <x:v>4199</x:v>
      </x:c>
      <x:c r="I106" s="32" t="n">
        <x:f>G106*H106</x:f>
        <x:v>8398</x:v>
      </x:c>
      <x:c r="J106" s="32" t="n">
        <x:v>3111</x:v>
      </x:c>
      <x:c r="K106" s="32" t="n">
        <x:f>G106*J106</x:f>
        <x:v>6222</x:v>
      </x:c>
      <x:c r="L106" s="32" t="n">
        <x:f>I106-K106</x:f>
        <x:v>2176</x:v>
      </x:c>
      <x:c r="M106" s="27" t="str">
        <x:v>Concluída</x:v>
      </x:c>
    </x:row>
    <x:row r="107">
      <x:c r="A107" s="27" t="n">
        <x:v>106</x:v>
      </x:c>
      <x:c r="B107" s="30" t="n">
        <x:v>45704</x:v>
      </x:c>
      <x:c r="C107" s="27" t="str">
        <x:v>SSD Expansion Card</x:v>
      </x:c>
      <x:c r="D107" s="27" t="str">
        <x:v>Acessório</x:v>
      </x:c>
      <x:c r="E107" s="27" t="str">
        <x:v>Centro-Oeste</x:v>
      </x:c>
      <x:c r="F107" s="27" t="str">
        <x:v>Loja Física</x:v>
      </x:c>
      <x:c r="G107" s="34" t="n">
        <x:v>11</x:v>
      </x:c>
      <x:c r="H107" s="32" t="n">
        <x:v>1169</x:v>
      </x:c>
      <x:c r="I107" s="32" t="n">
        <x:f>G107*H107</x:f>
        <x:v>12859</x:v>
      </x:c>
      <x:c r="J107" s="32" t="n">
        <x:v>882</x:v>
      </x:c>
      <x:c r="K107" s="32" t="n">
        <x:f>G107*J107</x:f>
        <x:v>9702</x:v>
      </x:c>
      <x:c r="L107" s="32" t="n">
        <x:f>I107-K107</x:f>
        <x:v>3157</x:v>
      </x:c>
      <x:c r="M107" s="27" t="str">
        <x:v>Concluída</x:v>
      </x:c>
    </x:row>
    <x:row r="108">
      <x:c r="A108" s="27" t="n">
        <x:v>107</x:v>
      </x:c>
      <x:c r="B108" s="30" t="n">
        <x:v>45868</x:v>
      </x:c>
      <x:c r="C108" s="27" t="str">
        <x:v>Headset Xbox</x:v>
      </x:c>
      <x:c r="D108" s="27" t="str">
        <x:v>Acessório</x:v>
      </x:c>
      <x:c r="E108" s="27" t="str">
        <x:v>Centro-Oeste</x:v>
      </x:c>
      <x:c r="F108" s="27" t="str">
        <x:v>Loja Física</x:v>
      </x:c>
      <x:c r="G108" s="34" t="n">
        <x:v>13</x:v>
      </x:c>
      <x:c r="H108" s="32" t="n">
        <x:v>539</x:v>
      </x:c>
      <x:c r="I108" s="32" t="n">
        <x:f>G108*H108</x:f>
        <x:v>7007</x:v>
      </x:c>
      <x:c r="J108" s="32" t="n">
        <x:v>350</x:v>
      </x:c>
      <x:c r="K108" s="32" t="n">
        <x:f>G108*J108</x:f>
        <x:v>4550</x:v>
      </x:c>
      <x:c r="L108" s="32" t="n">
        <x:f>I108-K108</x:f>
        <x:v>2457</x:v>
      </x:c>
      <x:c r="M108" s="27" t="str">
        <x:v>Concluída</x:v>
      </x:c>
    </x:row>
    <x:row r="109">
      <x:c r="A109" s="27" t="n">
        <x:v>108</x:v>
      </x:c>
      <x:c r="B109" s="30" t="n">
        <x:v>45819</x:v>
      </x:c>
      <x:c r="C109" s="27" t="str">
        <x:v>Xbox Series S</x:v>
      </x:c>
      <x:c r="D109" s="27" t="str">
        <x:v>Console</x:v>
      </x:c>
      <x:c r="E109" s="27" t="str">
        <x:v>Nordeste</x:v>
      </x:c>
      <x:c r="F109" s="27" t="str">
        <x:v>Loja Física</x:v>
      </x:c>
      <x:c r="G109" s="34" t="n">
        <x:v>7</x:v>
      </x:c>
      <x:c r="H109" s="32" t="n">
        <x:v>2519</x:v>
      </x:c>
      <x:c r="I109" s="32" t="n">
        <x:f>G109*H109</x:f>
        <x:v>17633</x:v>
      </x:c>
      <x:c r="J109" s="32" t="n">
        <x:v>1836</x:v>
      </x:c>
      <x:c r="K109" s="32" t="n">
        <x:f>G109*J109</x:f>
        <x:v>12852</x:v>
      </x:c>
      <x:c r="L109" s="32" t="n">
        <x:f>I109-K109</x:f>
        <x:v>4781</x:v>
      </x:c>
      <x:c r="M109" s="27" t="str">
        <x:v>Concluída</x:v>
      </x:c>
    </x:row>
    <x:row r="110">
      <x:c r="A110" s="27" t="n">
        <x:v>109</x:v>
      </x:c>
      <x:c r="B110" s="30" t="n">
        <x:v>45994</x:v>
      </x:c>
      <x:c r="C110" s="27" t="str">
        <x:v>Xbox Series X</x:v>
      </x:c>
      <x:c r="D110" s="27" t="str">
        <x:v>Console</x:v>
      </x:c>
      <x:c r="E110" s="27" t="str">
        <x:v>Norte</x:v>
      </x:c>
      <x:c r="F110" s="27" t="str">
        <x:v>Parceiro</x:v>
      </x:c>
      <x:c r="G110" s="34" t="n">
        <x:v>2</x:v>
      </x:c>
      <x:c r="H110" s="32" t="n">
        <x:v>3999</x:v>
      </x:c>
      <x:c r="I110" s="32" t="n">
        <x:f>G110*H110</x:f>
        <x:v>7998</x:v>
      </x:c>
      <x:c r="J110" s="32" t="n">
        <x:v>3111</x:v>
      </x:c>
      <x:c r="K110" s="32" t="n">
        <x:f>G110*J110</x:f>
        <x:v>6222</x:v>
      </x:c>
      <x:c r="L110" s="32" t="n">
        <x:f>I110-K110</x:f>
        <x:v>1776</x:v>
      </x:c>
      <x:c r="M110" s="27" t="str">
        <x:v>Concluída</x:v>
      </x:c>
    </x:row>
    <x:row r="111">
      <x:c r="A111" s="27" t="n">
        <x:v>110</x:v>
      </x:c>
      <x:c r="B111" s="30" t="n">
        <x:v>45978</x:v>
      </x:c>
      <x:c r="C111" s="27" t="str">
        <x:v>SSD Expansion Card</x:v>
      </x:c>
      <x:c r="D111" s="27" t="str">
        <x:v>Acessório</x:v>
      </x:c>
      <x:c r="E111" s="27" t="str">
        <x:v>Centro-Oeste</x:v>
      </x:c>
      <x:c r="F111" s="27" t="str">
        <x:v>Loja Online</x:v>
      </x:c>
      <x:c r="G111" s="34" t="n">
        <x:v>18</x:v>
      </x:c>
      <x:c r="H111" s="32" t="n">
        <x:v>1234</x:v>
      </x:c>
      <x:c r="I111" s="32" t="n">
        <x:f>G111*H111</x:f>
        <x:v>22212</x:v>
      </x:c>
      <x:c r="J111" s="32" t="n">
        <x:v>900</x:v>
      </x:c>
      <x:c r="K111" s="32" t="n">
        <x:f>G111*J111</x:f>
        <x:v>16200</x:v>
      </x:c>
      <x:c r="L111" s="32" t="n">
        <x:f>I111-K111</x:f>
        <x:v>6012</x:v>
      </x:c>
      <x:c r="M111" s="27" t="str">
        <x:v>Concluída</x:v>
      </x:c>
    </x:row>
    <x:row r="112">
      <x:c r="A112" s="27" t="n">
        <x:v>111</x:v>
      </x:c>
      <x:c r="B112" s="30" t="n">
        <x:v>46015</x:v>
      </x:c>
      <x:c r="C112" s="27" t="str">
        <x:v>SSD Expansion Card</x:v>
      </x:c>
      <x:c r="D112" s="27" t="str">
        <x:v>Acessório</x:v>
      </x:c>
      <x:c r="E112" s="27" t="str">
        <x:v>Centro-Oeste</x:v>
      </x:c>
      <x:c r="F112" s="27" t="str">
        <x:v>Loja Online</x:v>
      </x:c>
      <x:c r="G112" s="34" t="n">
        <x:v>8</x:v>
      </x:c>
      <x:c r="H112" s="32" t="n">
        <x:v>1234</x:v>
      </x:c>
      <x:c r="I112" s="32" t="n">
        <x:f>G112*H112</x:f>
        <x:v>9872</x:v>
      </x:c>
      <x:c r="J112" s="32" t="n">
        <x:v>900</x:v>
      </x:c>
      <x:c r="K112" s="32" t="n">
        <x:f>G112*J112</x:f>
        <x:v>7200</x:v>
      </x:c>
      <x:c r="L112" s="32" t="n">
        <x:f>I112-K112</x:f>
        <x:v>2672</x:v>
      </x:c>
      <x:c r="M112" s="27" t="str">
        <x:v>Concluída</x:v>
      </x:c>
    </x:row>
    <x:row r="113">
      <x:c r="A113" s="27" t="n">
        <x:v>112</x:v>
      </x:c>
      <x:c r="B113" s="30" t="n">
        <x:v>45940</x:v>
      </x:c>
      <x:c r="C113" s="27" t="str">
        <x:v>Xbox Series X</x:v>
      </x:c>
      <x:c r="D113" s="27" t="str">
        <x:v>Console</x:v>
      </x:c>
      <x:c r="E113" s="27" t="str">
        <x:v>Centro-Oeste</x:v>
      </x:c>
      <x:c r="F113" s="27" t="str">
        <x:v>Loja Online</x:v>
      </x:c>
      <x:c r="G113" s="34" t="n">
        <x:v>7</x:v>
      </x:c>
      <x:c r="H113" s="32" t="n">
        <x:v>3599</x:v>
      </x:c>
      <x:c r="I113" s="32" t="n">
        <x:f>G113*H113</x:f>
        <x:v>25193</x:v>
      </x:c>
      <x:c r="J113" s="32" t="n">
        <x:v>3050</x:v>
      </x:c>
      <x:c r="K113" s="32" t="n">
        <x:f>G113*J113</x:f>
        <x:v>21350</x:v>
      </x:c>
      <x:c r="L113" s="32" t="n">
        <x:f>I113-K113</x:f>
        <x:v>3843</x:v>
      </x:c>
      <x:c r="M113" s="27" t="str">
        <x:v>Concluída</x:v>
      </x:c>
    </x:row>
    <x:row r="114">
      <x:c r="A114" s="27" t="n">
        <x:v>113</x:v>
      </x:c>
      <x:c r="B114" s="30" t="n">
        <x:v>45989</x:v>
      </x:c>
      <x:c r="C114" s="27" t="str">
        <x:v>Xbox Series S</x:v>
      </x:c>
      <x:c r="D114" s="27" t="str">
        <x:v>Console</x:v>
      </x:c>
      <x:c r="E114" s="27" t="str">
        <x:v>Sul</x:v>
      </x:c>
      <x:c r="F114" s="27" t="str">
        <x:v>Parceiro</x:v>
      </x:c>
      <x:c r="G114" s="34" t="n">
        <x:v>3</x:v>
      </x:c>
      <x:c r="H114" s="32" t="n">
        <x:v>2399</x:v>
      </x:c>
      <x:c r="I114" s="32" t="n">
        <x:f>G114*H114</x:f>
        <x:v>7197</x:v>
      </x:c>
      <x:c r="J114" s="32" t="n">
        <x:v>1800</x:v>
      </x:c>
      <x:c r="K114" s="32" t="n">
        <x:f>G114*J114</x:f>
        <x:v>5400</x:v>
      </x:c>
      <x:c r="L114" s="32" t="n">
        <x:f>I114-K114</x:f>
        <x:v>1797</x:v>
      </x:c>
      <x:c r="M114" s="27" t="str">
        <x:v>Concluída</x:v>
      </x:c>
    </x:row>
    <x:row r="115">
      <x:c r="A115" s="27" t="n">
        <x:v>114</x:v>
      </x:c>
      <x:c r="B115" s="30" t="n">
        <x:v>45899</x:v>
      </x:c>
      <x:c r="C115" s="27" t="str">
        <x:v>SSD Expansion Card</x:v>
      </x:c>
      <x:c r="D115" s="27" t="str">
        <x:v>Acessório</x:v>
      </x:c>
      <x:c r="E115" s="27" t="str">
        <x:v>Sul</x:v>
      </x:c>
      <x:c r="F115" s="27" t="str">
        <x:v>Parceiro</x:v>
      </x:c>
      <x:c r="G115" s="34" t="n">
        <x:v>13</x:v>
      </x:c>
      <x:c r="H115" s="32" t="n">
        <x:v>1234</x:v>
      </x:c>
      <x:c r="I115" s="32" t="n">
        <x:f>G115*H115</x:f>
        <x:v>16042</x:v>
      </x:c>
      <x:c r="J115" s="32" t="n">
        <x:v>918</x:v>
      </x:c>
      <x:c r="K115" s="32" t="n">
        <x:f>G115*J115</x:f>
        <x:v>11934</x:v>
      </x:c>
      <x:c r="L115" s="32" t="n">
        <x:f>I115-K115</x:f>
        <x:v>4108</x:v>
      </x:c>
      <x:c r="M115" s="27" t="str">
        <x:v>Concluída</x:v>
      </x:c>
    </x:row>
    <x:row r="116">
      <x:c r="A116" s="27" t="n">
        <x:v>115</x:v>
      </x:c>
      <x:c r="B116" s="30" t="n">
        <x:v>45693</x:v>
      </x:c>
      <x:c r="C116" s="27" t="str">
        <x:v>Xbox Game Pass Ultimate</x:v>
      </x:c>
      <x:c r="D116" s="27" t="str">
        <x:v>Assinatura</x:v>
      </x:c>
      <x:c r="E116" s="27" t="str">
        <x:v>Nordeste</x:v>
      </x:c>
      <x:c r="F116" s="27" t="str">
        <x:v>Parceiro</x:v>
      </x:c>
      <x:c r="G116" s="34" t="n">
        <x:v>69</x:v>
      </x:c>
      <x:c r="H116" s="32" t="n">
        <x:v>59</x:v>
      </x:c>
      <x:c r="I116" s="32" t="n">
        <x:f>G116*H116</x:f>
        <x:v>4071</x:v>
      </x:c>
      <x:c r="J116" s="32" t="n">
        <x:v>24</x:v>
      </x:c>
      <x:c r="K116" s="32" t="n">
        <x:f>G116*J116</x:f>
        <x:v>1656</x:v>
      </x:c>
      <x:c r="L116" s="32" t="n">
        <x:f>I116-K116</x:f>
        <x:v>2415</x:v>
      </x:c>
      <x:c r="M116" s="27" t="str">
        <x:v>Concluída</x:v>
      </x:c>
    </x:row>
    <x:row r="117">
      <x:c r="A117" s="27" t="n">
        <x:v>116</x:v>
      </x:c>
      <x:c r="B117" s="30" t="n">
        <x:v>45810</x:v>
      </x:c>
      <x:c r="C117" s="27" t="str">
        <x:v>Controle Xbox Wireless</x:v>
      </x:c>
      <x:c r="D117" s="27" t="str">
        <x:v>Acessório</x:v>
      </x:c>
      <x:c r="E117" s="27" t="str">
        <x:v>Norte</x:v>
      </x:c>
      <x:c r="F117" s="27" t="str">
        <x:v>Parceiro</x:v>
      </x:c>
      <x:c r="G117" s="34" t="n">
        <x:v>15</x:v>
      </x:c>
      <x:c r="H117" s="32" t="n">
        <x:v>471</x:v>
      </x:c>
      <x:c r="I117" s="32" t="n">
        <x:f>G117*H117</x:f>
        <x:v>7065</x:v>
      </x:c>
      <x:c r="J117" s="32" t="n">
        <x:v>260</x:v>
      </x:c>
      <x:c r="K117" s="32" t="n">
        <x:f>G117*J117</x:f>
        <x:v>3900</x:v>
      </x:c>
      <x:c r="L117" s="32" t="n">
        <x:f>I117-K117</x:f>
        <x:v>3165</x:v>
      </x:c>
      <x:c r="M117" s="27" t="str">
        <x:v>Concluída</x:v>
      </x:c>
    </x:row>
    <x:row r="118">
      <x:c r="A118" s="27" t="n">
        <x:v>117</x:v>
      </x:c>
      <x:c r="B118" s="30" t="n">
        <x:v>45940</x:v>
      </x:c>
      <x:c r="C118" s="27" t="str">
        <x:v>Headset Xbox</x:v>
      </x:c>
      <x:c r="D118" s="27" t="str">
        <x:v>Acessório</x:v>
      </x:c>
      <x:c r="E118" s="27" t="str">
        <x:v>Norte</x:v>
      </x:c>
      <x:c r="F118" s="27" t="str">
        <x:v>Parceiro</x:v>
      </x:c>
      <x:c r="G118" s="34" t="n">
        <x:v>11</x:v>
      </x:c>
      <x:c r="H118" s="32" t="n">
        <x:v>569</x:v>
      </x:c>
      <x:c r="I118" s="32" t="n">
        <x:f>G118*H118</x:f>
        <x:v>6259</x:v>
      </x:c>
      <x:c r="J118" s="32" t="n">
        <x:v>357</x:v>
      </x:c>
      <x:c r="K118" s="32" t="n">
        <x:f>G118*J118</x:f>
        <x:v>3927</x:v>
      </x:c>
      <x:c r="L118" s="32" t="n">
        <x:f>I118-K118</x:f>
        <x:v>2332</x:v>
      </x:c>
      <x:c r="M118" s="27" t="str">
        <x:v>Concluída</x:v>
      </x:c>
    </x:row>
    <x:row r="119">
      <x:c r="A119" s="27" t="n">
        <x:v>118</x:v>
      </x:c>
      <x:c r="B119" s="30" t="n">
        <x:v>45950</x:v>
      </x:c>
      <x:c r="C119" s="27" t="str">
        <x:v>Xbox Game Pass Core</x:v>
      </x:c>
      <x:c r="D119" s="27" t="str">
        <x:v>Assinatura</x:v>
      </x:c>
      <x:c r="E119" s="27" t="str">
        <x:v>Centro-Oeste</x:v>
      </x:c>
      <x:c r="F119" s="27" t="str">
        <x:v>Marketplace</x:v>
      </x:c>
      <x:c r="G119" s="34" t="n">
        <x:v>57</x:v>
      </x:c>
      <x:c r="H119" s="32" t="n">
        <x:v>31</x:v>
      </x:c>
      <x:c r="I119" s="32" t="n">
        <x:f>G119*H119</x:f>
        <x:v>1767</x:v>
      </x:c>
      <x:c r="J119" s="32" t="n">
        <x:v>15</x:v>
      </x:c>
      <x:c r="K119" s="32" t="n">
        <x:f>G119*J119</x:f>
        <x:v>855</x:v>
      </x:c>
      <x:c r="L119" s="32" t="n">
        <x:f>I119-K119</x:f>
        <x:v>912</x:v>
      </x:c>
      <x:c r="M119" s="27" t="str">
        <x:v>Concluída</x:v>
      </x:c>
    </x:row>
    <x:row r="120">
      <x:c r="A120" s="27" t="n">
        <x:v>119</x:v>
      </x:c>
      <x:c r="B120" s="30" t="n">
        <x:v>46019</x:v>
      </x:c>
      <x:c r="C120" s="27" t="str">
        <x:v>SSD Expansion Card</x:v>
      </x:c>
      <x:c r="D120" s="27" t="str">
        <x:v>Acessório</x:v>
      </x:c>
      <x:c r="E120" s="27" t="str">
        <x:v>Centro-Oeste</x:v>
      </x:c>
      <x:c r="F120" s="27" t="str">
        <x:v>Parceiro</x:v>
      </x:c>
      <x:c r="G120" s="34" t="n">
        <x:v>5</x:v>
      </x:c>
      <x:c r="H120" s="32" t="n">
        <x:v>1364</x:v>
      </x:c>
      <x:c r="I120" s="32" t="n">
        <x:f>G120*H120</x:f>
        <x:v>6820</x:v>
      </x:c>
      <x:c r="J120" s="32" t="n">
        <x:v>882</x:v>
      </x:c>
      <x:c r="K120" s="32" t="n">
        <x:f>G120*J120</x:f>
        <x:v>4410</x:v>
      </x:c>
      <x:c r="L120" s="32" t="n">
        <x:f>I120-K120</x:f>
        <x:v>2410</x:v>
      </x:c>
      <x:c r="M120" s="27" t="str">
        <x:v>Cancelada</x:v>
      </x:c>
    </x:row>
    <x:row r="121">
      <x:c r="A121" s="27" t="n">
        <x:v>120</x:v>
      </x:c>
      <x:c r="B121" s="30" t="n">
        <x:v>45915</x:v>
      </x:c>
      <x:c r="C121" s="27" t="str">
        <x:v>Xbox Game Pass Ultimate</x:v>
      </x:c>
      <x:c r="D121" s="27" t="str">
        <x:v>Assinatura</x:v>
      </x:c>
      <x:c r="E121" s="27" t="str">
        <x:v>Norte</x:v>
      </x:c>
      <x:c r="F121" s="27" t="str">
        <x:v>Loja Física</x:v>
      </x:c>
      <x:c r="G121" s="34" t="n">
        <x:v>61</x:v>
      </x:c>
      <x:c r="H121" s="32" t="n">
        <x:v>53</x:v>
      </x:c>
      <x:c r="I121" s="32" t="n">
        <x:f>G121*H121</x:f>
        <x:v>3233</x:v>
      </x:c>
      <x:c r="J121" s="32" t="n">
        <x:v>26</x:v>
      </x:c>
      <x:c r="K121" s="32" t="n">
        <x:f>G121*J121</x:f>
        <x:v>1586</x:v>
      </x:c>
      <x:c r="L121" s="32" t="n">
        <x:f>I121-K121</x:f>
        <x:v>1647</x:v>
      </x:c>
      <x:c r="M121" s="27" t="str">
        <x:v>Concluída</x:v>
      </x:c>
    </x:row>
    <x:row r="122">
      <x:c r="A122" s="27" t="n">
        <x:v>121</x:v>
      </x:c>
      <x:c r="B122" s="30" t="n">
        <x:v>45665</x:v>
      </x:c>
      <x:c r="C122" s="27" t="str">
        <x:v>SSD Expansion Card</x:v>
      </x:c>
      <x:c r="D122" s="27" t="str">
        <x:v>Acessório</x:v>
      </x:c>
      <x:c r="E122" s="27" t="str">
        <x:v>Sul</x:v>
      </x:c>
      <x:c r="F122" s="27" t="str">
        <x:v>Parceiro</x:v>
      </x:c>
      <x:c r="G122" s="34" t="n">
        <x:v>5</x:v>
      </x:c>
      <x:c r="H122" s="32" t="n">
        <x:v>1169</x:v>
      </x:c>
      <x:c r="I122" s="32" t="n">
        <x:f>G122*H122</x:f>
        <x:v>5845</x:v>
      </x:c>
      <x:c r="J122" s="32" t="n">
        <x:v>900</x:v>
      </x:c>
      <x:c r="K122" s="32" t="n">
        <x:f>G122*J122</x:f>
        <x:v>4500</x:v>
      </x:c>
      <x:c r="L122" s="32" t="n">
        <x:f>I122-K122</x:f>
        <x:v>1345</x:v>
      </x:c>
      <x:c r="M122" s="27" t="str">
        <x:v>Concluída</x:v>
      </x:c>
    </x:row>
    <x:row r="123">
      <x:c r="A123" s="27" t="n">
        <x:v>122</x:v>
      </x:c>
      <x:c r="B123" s="30" t="n">
        <x:v>45831</x:v>
      </x:c>
      <x:c r="C123" s="27" t="str">
        <x:v>Controle Xbox Wireless</x:v>
      </x:c>
      <x:c r="D123" s="27" t="str">
        <x:v>Acessório</x:v>
      </x:c>
      <x:c r="E123" s="27" t="str">
        <x:v>Norte</x:v>
      </x:c>
      <x:c r="F123" s="27" t="str">
        <x:v>Parceiro</x:v>
      </x:c>
      <x:c r="G123" s="34" t="n">
        <x:v>11</x:v>
      </x:c>
      <x:c r="H123" s="32" t="n">
        <x:v>471</x:v>
      </x:c>
      <x:c r="I123" s="32" t="n">
        <x:f>G123*H123</x:f>
        <x:v>5181</x:v>
      </x:c>
      <x:c r="J123" s="32" t="n">
        <x:v>260</x:v>
      </x:c>
      <x:c r="K123" s="32" t="n">
        <x:f>G123*J123</x:f>
        <x:v>2860</x:v>
      </x:c>
      <x:c r="L123" s="32" t="n">
        <x:f>I123-K123</x:f>
        <x:v>2321</x:v>
      </x:c>
      <x:c r="M123" s="27" t="str">
        <x:v>Concluída</x:v>
      </x:c>
    </x:row>
    <x:row r="124">
      <x:c r="A124" s="27" t="n">
        <x:v>123</x:v>
      </x:c>
      <x:c r="B124" s="30" t="n">
        <x:v>45935</x:v>
      </x:c>
      <x:c r="C124" s="27" t="str">
        <x:v>SSD Expansion Card</x:v>
      </x:c>
      <x:c r="D124" s="27" t="str">
        <x:v>Acessório</x:v>
      </x:c>
      <x:c r="E124" s="27" t="str">
        <x:v>Sudeste</x:v>
      </x:c>
      <x:c r="F124" s="27" t="str">
        <x:v>Loja Online</x:v>
      </x:c>
      <x:c r="G124" s="34" t="n">
        <x:v>10</x:v>
      </x:c>
      <x:c r="H124" s="32" t="n">
        <x:v>1234</x:v>
      </x:c>
      <x:c r="I124" s="32" t="n">
        <x:f>G124*H124</x:f>
        <x:v>12340</x:v>
      </x:c>
      <x:c r="J124" s="32" t="n">
        <x:v>918</x:v>
      </x:c>
      <x:c r="K124" s="32" t="n">
        <x:f>G124*J124</x:f>
        <x:v>9180</x:v>
      </x:c>
      <x:c r="L124" s="32" t="n">
        <x:f>I124-K124</x:f>
        <x:v>3160</x:v>
      </x:c>
      <x:c r="M124" s="27" t="str">
        <x:v>Concluída</x:v>
      </x:c>
    </x:row>
    <x:row r="125">
      <x:c r="A125" s="27" t="n">
        <x:v>124</x:v>
      </x:c>
      <x:c r="B125" s="30" t="n">
        <x:v>45880</x:v>
      </x:c>
      <x:c r="C125" s="27" t="str">
        <x:v>Xbox Series S</x:v>
      </x:c>
      <x:c r="D125" s="27" t="str">
        <x:v>Console</x:v>
      </x:c>
      <x:c r="E125" s="27" t="str">
        <x:v>Sudeste</x:v>
      </x:c>
      <x:c r="F125" s="27" t="str">
        <x:v>Loja Online</x:v>
      </x:c>
      <x:c r="G125" s="34" t="n">
        <x:v>6</x:v>
      </x:c>
      <x:c r="H125" s="32" t="n">
        <x:v>2399</x:v>
      </x:c>
      <x:c r="I125" s="32" t="n">
        <x:f>G125*H125</x:f>
        <x:v>14394</x:v>
      </x:c>
      <x:c r="J125" s="32" t="n">
        <x:v>1764</x:v>
      </x:c>
      <x:c r="K125" s="32" t="n">
        <x:f>G125*J125</x:f>
        <x:v>10584</x:v>
      </x:c>
      <x:c r="L125" s="32" t="n">
        <x:f>I125-K125</x:f>
        <x:v>3810</x:v>
      </x:c>
      <x:c r="M125" s="27" t="str">
        <x:v>Concluída</x:v>
      </x:c>
    </x:row>
    <x:row r="126">
      <x:c r="A126" s="27" t="n">
        <x:v>125</x:v>
      </x:c>
      <x:c r="B126" s="30" t="n">
        <x:v>45824</x:v>
      </x:c>
      <x:c r="C126" s="27" t="str">
        <x:v>Xbox Series X</x:v>
      </x:c>
      <x:c r="D126" s="27" t="str">
        <x:v>Console</x:v>
      </x:c>
      <x:c r="E126" s="27" t="str">
        <x:v>Sudeste</x:v>
      </x:c>
      <x:c r="F126" s="27" t="str">
        <x:v>Loja Física</x:v>
      </x:c>
      <x:c r="G126" s="34" t="n">
        <x:v>4</x:v>
      </x:c>
      <x:c r="H126" s="32" t="n">
        <x:v>3799</x:v>
      </x:c>
      <x:c r="I126" s="32" t="n">
        <x:f>G126*H126</x:f>
        <x:v>15196</x:v>
      </x:c>
      <x:c r="J126" s="32" t="n">
        <x:v>2989</x:v>
      </x:c>
      <x:c r="K126" s="32" t="n">
        <x:f>G126*J126</x:f>
        <x:v>11956</x:v>
      </x:c>
      <x:c r="L126" s="32" t="n">
        <x:f>I126-K126</x:f>
        <x:v>3240</x:v>
      </x:c>
      <x:c r="M126" s="27" t="str">
        <x:v>Concluída</x:v>
      </x:c>
    </x:row>
    <x:row r="127">
      <x:c r="A127" s="27" t="n">
        <x:v>126</x:v>
      </x:c>
      <x:c r="B127" s="30" t="n">
        <x:v>45947</x:v>
      </x:c>
      <x:c r="C127" s="27" t="str">
        <x:v>Gift Card Xbox</x:v>
      </x:c>
      <x:c r="D127" s="27" t="str">
        <x:v>Serviço</x:v>
      </x:c>
      <x:c r="E127" s="27" t="str">
        <x:v>Sul</x:v>
      </x:c>
      <x:c r="F127" s="27" t="str">
        <x:v>Marketplace</x:v>
      </x:c>
      <x:c r="G127" s="34" t="n">
        <x:v>53</x:v>
      </x:c>
      <x:c r="H127" s="32" t="n">
        <x:v>95</x:v>
      </x:c>
      <x:c r="I127" s="32" t="n">
        <x:f>G127*H127</x:f>
        <x:v>5035</x:v>
      </x:c>
      <x:c r="J127" s="32" t="n">
        <x:v>70</x:v>
      </x:c>
      <x:c r="K127" s="32" t="n">
        <x:f>G127*J127</x:f>
        <x:v>3710</x:v>
      </x:c>
      <x:c r="L127" s="32" t="n">
        <x:f>I127-K127</x:f>
        <x:v>1325</x:v>
      </x:c>
      <x:c r="M127" s="27" t="str">
        <x:v>Concluída</x:v>
      </x:c>
    </x:row>
    <x:row r="128">
      <x:c r="A128" s="27" t="n">
        <x:v>127</x:v>
      </x:c>
      <x:c r="B128" s="30" t="n">
        <x:v>45776</x:v>
      </x:c>
      <x:c r="C128" s="27" t="str">
        <x:v>Xbox Game Pass Ultimate</x:v>
      </x:c>
      <x:c r="D128" s="27" t="str">
        <x:v>Assinatura</x:v>
      </x:c>
      <x:c r="E128" s="27" t="str">
        <x:v>Centro-Oeste</x:v>
      </x:c>
      <x:c r="F128" s="27" t="str">
        <x:v>Loja Física</x:v>
      </x:c>
      <x:c r="G128" s="34" t="n">
        <x:v>6</x:v>
      </x:c>
      <x:c r="H128" s="32" t="n">
        <x:v>62</x:v>
      </x:c>
      <x:c r="I128" s="32" t="n">
        <x:f>G128*H128</x:f>
        <x:v>372</x:v>
      </x:c>
      <x:c r="J128" s="32" t="n">
        <x:v>25</x:v>
      </x:c>
      <x:c r="K128" s="32" t="n">
        <x:f>G128*J128</x:f>
        <x:v>150</x:v>
      </x:c>
      <x:c r="L128" s="32" t="n">
        <x:f>I128-K128</x:f>
        <x:v>222</x:v>
      </x:c>
      <x:c r="M128" s="27" t="str">
        <x:v>Concluída</x:v>
      </x:c>
    </x:row>
    <x:row r="129">
      <x:c r="A129" s="27" t="n">
        <x:v>128</x:v>
      </x:c>
      <x:c r="B129" s="30" t="n">
        <x:v>45695</x:v>
      </x:c>
      <x:c r="C129" s="27" t="str">
        <x:v>Xbox Game Pass Ultimate</x:v>
      </x:c>
      <x:c r="D129" s="27" t="str">
        <x:v>Assinatura</x:v>
      </x:c>
      <x:c r="E129" s="27" t="str">
        <x:v>Centro-Oeste</x:v>
      </x:c>
      <x:c r="F129" s="27" t="str">
        <x:v>Loja Física</x:v>
      </x:c>
      <x:c r="G129" s="34" t="n">
        <x:v>43</x:v>
      </x:c>
      <x:c r="H129" s="32" t="n">
        <x:v>62</x:v>
      </x:c>
      <x:c r="I129" s="32" t="n">
        <x:f>G129*H129</x:f>
        <x:v>2666</x:v>
      </x:c>
      <x:c r="J129" s="32" t="n">
        <x:v>26</x:v>
      </x:c>
      <x:c r="K129" s="32" t="n">
        <x:f>G129*J129</x:f>
        <x:v>1118</x:v>
      </x:c>
      <x:c r="L129" s="32" t="n">
        <x:f>I129-K129</x:f>
        <x:v>1548</x:v>
      </x:c>
      <x:c r="M129" s="27" t="str">
        <x:v>Cancelada</x:v>
      </x:c>
    </x:row>
    <x:row r="130">
      <x:c r="A130" s="27" t="n">
        <x:v>129</x:v>
      </x:c>
      <x:c r="B130" s="30" t="n">
        <x:v>45891</x:v>
      </x:c>
      <x:c r="C130" s="27" t="str">
        <x:v>Controle Xbox Wireless</x:v>
      </x:c>
      <x:c r="D130" s="27" t="str">
        <x:v>Acessório</x:v>
      </x:c>
      <x:c r="E130" s="27" t="str">
        <x:v>Nordeste</x:v>
      </x:c>
      <x:c r="F130" s="27" t="str">
        <x:v>Marketplace</x:v>
      </x:c>
      <x:c r="G130" s="34" t="n">
        <x:v>16</x:v>
      </x:c>
      <x:c r="H130" s="32" t="n">
        <x:v>404</x:v>
      </x:c>
      <x:c r="I130" s="32" t="n">
        <x:f>G130*H130</x:f>
        <x:v>6464</x:v>
      </x:c>
      <x:c r="J130" s="32" t="n">
        <x:v>255</x:v>
      </x:c>
      <x:c r="K130" s="32" t="n">
        <x:f>G130*J130</x:f>
        <x:v>4080</x:v>
      </x:c>
      <x:c r="L130" s="32" t="n">
        <x:f>I130-K130</x:f>
        <x:v>2384</x:v>
      </x:c>
      <x:c r="M130" s="27" t="str">
        <x:v>Cancelada</x:v>
      </x:c>
    </x:row>
    <x:row r="131">
      <x:c r="A131" s="27" t="n">
        <x:v>130</x:v>
      </x:c>
      <x:c r="B131" s="30" t="n">
        <x:v>45950</x:v>
      </x:c>
      <x:c r="C131" s="27" t="str">
        <x:v>Gift Card Xbox</x:v>
      </x:c>
      <x:c r="D131" s="27" t="str">
        <x:v>Serviço</x:v>
      </x:c>
      <x:c r="E131" s="27" t="str">
        <x:v>Nordeste</x:v>
      </x:c>
      <x:c r="F131" s="27" t="str">
        <x:v>Loja Física</x:v>
      </x:c>
      <x:c r="G131" s="34" t="n">
        <x:v>42</x:v>
      </x:c>
      <x:c r="H131" s="32" t="n">
        <x:v>90</x:v>
      </x:c>
      <x:c r="I131" s="32" t="n">
        <x:f>G131*H131</x:f>
        <x:v>3780</x:v>
      </x:c>
      <x:c r="J131" s="32" t="n">
        <x:v>71</x:v>
      </x:c>
      <x:c r="K131" s="32" t="n">
        <x:f>G131*J131</x:f>
        <x:v>2982</x:v>
      </x:c>
      <x:c r="L131" s="32" t="n">
        <x:f>I131-K131</x:f>
        <x:v>798</x:v>
      </x:c>
      <x:c r="M131" s="27" t="str">
        <x:v>Cancelada</x:v>
      </x:c>
    </x:row>
    <x:row r="132">
      <x:c r="A132" s="27" t="n">
        <x:v>131</x:v>
      </x:c>
      <x:c r="B132" s="30" t="n">
        <x:v>45798</x:v>
      </x:c>
      <x:c r="C132" s="27" t="str">
        <x:v>Gift Card Xbox</x:v>
      </x:c>
      <x:c r="D132" s="27" t="str">
        <x:v>Serviço</x:v>
      </x:c>
      <x:c r="E132" s="27" t="str">
        <x:v>Sudeste</x:v>
      </x:c>
      <x:c r="F132" s="27" t="str">
        <x:v>Loja Online</x:v>
      </x:c>
      <x:c r="G132" s="34" t="n">
        <x:v>68</x:v>
      </x:c>
      <x:c r="H132" s="32" t="n">
        <x:v>100</x:v>
      </x:c>
      <x:c r="I132" s="32" t="n">
        <x:f>G132*H132</x:f>
        <x:v>6800</x:v>
      </x:c>
      <x:c r="J132" s="32" t="n">
        <x:v>69</x:v>
      </x:c>
      <x:c r="K132" s="32" t="n">
        <x:f>G132*J132</x:f>
        <x:v>4692</x:v>
      </x:c>
      <x:c r="L132" s="32" t="n">
        <x:f>I132-K132</x:f>
        <x:v>2108</x:v>
      </x:c>
      <x:c r="M132" s="27" t="str">
        <x:v>Concluída</x:v>
      </x:c>
    </x:row>
    <x:row r="133">
      <x:c r="A133" s="27" t="n">
        <x:v>132</x:v>
      </x:c>
      <x:c r="B133" s="30" t="n">
        <x:v>45770</x:v>
      </x:c>
      <x:c r="C133" s="27" t="str">
        <x:v>Headset Xbox</x:v>
      </x:c>
      <x:c r="D133" s="27" t="str">
        <x:v>Acessório</x:v>
      </x:c>
      <x:c r="E133" s="27" t="str">
        <x:v>Sul</x:v>
      </x:c>
      <x:c r="F133" s="27" t="str">
        <x:v>Loja Física</x:v>
      </x:c>
      <x:c r="G133" s="34" t="n">
        <x:v>5</x:v>
      </x:c>
      <x:c r="H133" s="32" t="n">
        <x:v>539</x:v>
      </x:c>
      <x:c r="I133" s="32" t="n">
        <x:f>G133*H133</x:f>
        <x:v>2695</x:v>
      </x:c>
      <x:c r="J133" s="32" t="n">
        <x:v>357</x:v>
      </x:c>
      <x:c r="K133" s="32" t="n">
        <x:f>G133*J133</x:f>
        <x:v>1785</x:v>
      </x:c>
      <x:c r="L133" s="32" t="n">
        <x:f>I133-K133</x:f>
        <x:v>910</x:v>
      </x:c>
      <x:c r="M133" s="27" t="str">
        <x:v>Concluída</x:v>
      </x:c>
    </x:row>
    <x:row r="134">
      <x:c r="A134" s="27" t="n">
        <x:v>133</x:v>
      </x:c>
      <x:c r="B134" s="30" t="n">
        <x:v>45816</x:v>
      </x:c>
      <x:c r="C134" s="27" t="str">
        <x:v>Xbox Series X</x:v>
      </x:c>
      <x:c r="D134" s="27" t="str">
        <x:v>Console</x:v>
      </x:c>
      <x:c r="E134" s="27" t="str">
        <x:v>Centro-Oeste</x:v>
      </x:c>
      <x:c r="F134" s="27" t="str">
        <x:v>Loja Online</x:v>
      </x:c>
      <x:c r="G134" s="34" t="n">
        <x:v>6</x:v>
      </x:c>
      <x:c r="H134" s="32" t="n">
        <x:v>3799</x:v>
      </x:c>
      <x:c r="I134" s="32" t="n">
        <x:f>G134*H134</x:f>
        <x:v>22794</x:v>
      </x:c>
      <x:c r="J134" s="32" t="n">
        <x:v>2989</x:v>
      </x:c>
      <x:c r="K134" s="32" t="n">
        <x:f>G134*J134</x:f>
        <x:v>17934</x:v>
      </x:c>
      <x:c r="L134" s="32" t="n">
        <x:f>I134-K134</x:f>
        <x:v>4860</x:v>
      </x:c>
      <x:c r="M134" s="27" t="str">
        <x:v>Concluída</x:v>
      </x:c>
    </x:row>
    <x:row r="135">
      <x:c r="A135" s="27" t="n">
        <x:v>134</x:v>
      </x:c>
      <x:c r="B135" s="30" t="n">
        <x:v>45825</x:v>
      </x:c>
      <x:c r="C135" s="27" t="str">
        <x:v>Controle Xbox Wireless</x:v>
      </x:c>
      <x:c r="D135" s="27" t="str">
        <x:v>Acessório</x:v>
      </x:c>
      <x:c r="E135" s="27" t="str">
        <x:v>Centro-Oeste</x:v>
      </x:c>
      <x:c r="F135" s="27" t="str">
        <x:v>Marketplace</x:v>
      </x:c>
      <x:c r="G135" s="34" t="n">
        <x:v>18</x:v>
      </x:c>
      <x:c r="H135" s="32" t="n">
        <x:v>449</x:v>
      </x:c>
      <x:c r="I135" s="32" t="n">
        <x:f>G135*H135</x:f>
        <x:v>8082</x:v>
      </x:c>
      <x:c r="J135" s="32" t="n">
        <x:v>265</x:v>
      </x:c>
      <x:c r="K135" s="32" t="n">
        <x:f>G135*J135</x:f>
        <x:v>4770</x:v>
      </x:c>
      <x:c r="L135" s="32" t="n">
        <x:f>I135-K135</x:f>
        <x:v>3312</x:v>
      </x:c>
      <x:c r="M135" s="27" t="str">
        <x:v>Concluída</x:v>
      </x:c>
    </x:row>
    <x:row r="136">
      <x:c r="A136" s="27" t="n">
        <x:v>135</x:v>
      </x:c>
      <x:c r="B136" s="30" t="n">
        <x:v>45742</x:v>
      </x:c>
      <x:c r="C136" s="27" t="str">
        <x:v>Controle Xbox Wireless</x:v>
      </x:c>
      <x:c r="D136" s="27" t="str">
        <x:v>Acessório</x:v>
      </x:c>
      <x:c r="E136" s="27" t="str">
        <x:v>Nordeste</x:v>
      </x:c>
      <x:c r="F136" s="27" t="str">
        <x:v>Parceiro</x:v>
      </x:c>
      <x:c r="G136" s="34" t="n">
        <x:v>10</x:v>
      </x:c>
      <x:c r="H136" s="32" t="n">
        <x:v>449</x:v>
      </x:c>
      <x:c r="I136" s="32" t="n">
        <x:f>G136*H136</x:f>
        <x:v>4490</x:v>
      </x:c>
      <x:c r="J136" s="32" t="n">
        <x:v>255</x:v>
      </x:c>
      <x:c r="K136" s="32" t="n">
        <x:f>G136*J136</x:f>
        <x:v>2550</x:v>
      </x:c>
      <x:c r="L136" s="32" t="n">
        <x:f>I136-K136</x:f>
        <x:v>1940</x:v>
      </x:c>
      <x:c r="M136" s="27" t="str">
        <x:v>Cancelada</x:v>
      </x:c>
    </x:row>
    <x:row r="137">
      <x:c r="A137" s="27" t="n">
        <x:v>136</x:v>
      </x:c>
      <x:c r="B137" s="30" t="n">
        <x:v>45696</x:v>
      </x:c>
      <x:c r="C137" s="27" t="str">
        <x:v>SSD Expansion Card</x:v>
      </x:c>
      <x:c r="D137" s="27" t="str">
        <x:v>Acessório</x:v>
      </x:c>
      <x:c r="E137" s="27" t="str">
        <x:v>Sul</x:v>
      </x:c>
      <x:c r="F137" s="27" t="str">
        <x:v>Marketplace</x:v>
      </x:c>
      <x:c r="G137" s="34" t="n">
        <x:v>13</x:v>
      </x:c>
      <x:c r="H137" s="32" t="n">
        <x:v>1299</x:v>
      </x:c>
      <x:c r="I137" s="32" t="n">
        <x:f>G137*H137</x:f>
        <x:v>16887</x:v>
      </x:c>
      <x:c r="J137" s="32" t="n">
        <x:v>882</x:v>
      </x:c>
      <x:c r="K137" s="32" t="n">
        <x:f>G137*J137</x:f>
        <x:v>11466</x:v>
      </x:c>
      <x:c r="L137" s="32" t="n">
        <x:f>I137-K137</x:f>
        <x:v>5421</x:v>
      </x:c>
      <x:c r="M137" s="27" t="str">
        <x:v>Concluída</x:v>
      </x:c>
    </x:row>
    <x:row r="138">
      <x:c r="A138" s="27" t="n">
        <x:v>137</x:v>
      </x:c>
      <x:c r="B138" s="30" t="n">
        <x:v>45665</x:v>
      </x:c>
      <x:c r="C138" s="27" t="str">
        <x:v>Gift Card Xbox</x:v>
      </x:c>
      <x:c r="D138" s="27" t="str">
        <x:v>Serviço</x:v>
      </x:c>
      <x:c r="E138" s="27" t="str">
        <x:v>Nordeste</x:v>
      </x:c>
      <x:c r="F138" s="27" t="str">
        <x:v>Loja Online</x:v>
      </x:c>
      <x:c r="G138" s="34" t="n">
        <x:v>38</x:v>
      </x:c>
      <x:c r="H138" s="32" t="n">
        <x:v>105</x:v>
      </x:c>
      <x:c r="I138" s="32" t="n">
        <x:f>G138*H138</x:f>
        <x:v>3990</x:v>
      </x:c>
      <x:c r="J138" s="32" t="n">
        <x:v>71</x:v>
      </x:c>
      <x:c r="K138" s="32" t="n">
        <x:f>G138*J138</x:f>
        <x:v>2698</x:v>
      </x:c>
      <x:c r="L138" s="32" t="n">
        <x:f>I138-K138</x:f>
        <x:v>1292</x:v>
      </x:c>
      <x:c r="M138" s="27" t="str">
        <x:v>Concluída</x:v>
      </x:c>
    </x:row>
    <x:row r="139">
      <x:c r="A139" s="27" t="n">
        <x:v>138</x:v>
      </x:c>
      <x:c r="B139" s="30" t="n">
        <x:v>45713</x:v>
      </x:c>
      <x:c r="C139" s="27" t="str">
        <x:v>Headset Xbox</x:v>
      </x:c>
      <x:c r="D139" s="27" t="str">
        <x:v>Acessório</x:v>
      </x:c>
      <x:c r="E139" s="27" t="str">
        <x:v>Sul</x:v>
      </x:c>
      <x:c r="F139" s="27" t="str">
        <x:v>Parceiro</x:v>
      </x:c>
      <x:c r="G139" s="34" t="n">
        <x:v>18</x:v>
      </x:c>
      <x:c r="H139" s="32" t="n">
        <x:v>599</x:v>
      </x:c>
      <x:c r="I139" s="32" t="n">
        <x:f>G139*H139</x:f>
        <x:v>10782</x:v>
      </x:c>
      <x:c r="J139" s="32" t="n">
        <x:v>357</x:v>
      </x:c>
      <x:c r="K139" s="32" t="n">
        <x:f>G139*J139</x:f>
        <x:v>6426</x:v>
      </x:c>
      <x:c r="L139" s="32" t="n">
        <x:f>I139-K139</x:f>
        <x:v>4356</x:v>
      </x:c>
      <x:c r="M139" s="27" t="str">
        <x:v>Concluída</x:v>
      </x:c>
    </x:row>
    <x:row r="140">
      <x:c r="A140" s="27" t="n">
        <x:v>139</x:v>
      </x:c>
      <x:c r="B140" s="30" t="n">
        <x:v>45989</x:v>
      </x:c>
      <x:c r="C140" s="27" t="str">
        <x:v>Xbox Game Pass Core</x:v>
      </x:c>
      <x:c r="D140" s="27" t="str">
        <x:v>Assinatura</x:v>
      </x:c>
      <x:c r="E140" s="27" t="str">
        <x:v>Sudeste</x:v>
      </x:c>
      <x:c r="F140" s="27" t="str">
        <x:v>Parceiro</x:v>
      </x:c>
      <x:c r="G140" s="34" t="n">
        <x:v>43</x:v>
      </x:c>
      <x:c r="H140" s="32" t="n">
        <x:v>36</x:v>
      </x:c>
      <x:c r="I140" s="32" t="n">
        <x:f>G140*H140</x:f>
        <x:v>1548</x:v>
      </x:c>
      <x:c r="J140" s="32" t="n">
        <x:v>15</x:v>
      </x:c>
      <x:c r="K140" s="32" t="n">
        <x:f>G140*J140</x:f>
        <x:v>645</x:v>
      </x:c>
      <x:c r="L140" s="32" t="n">
        <x:f>I140-K140</x:f>
        <x:v>903</x:v>
      </x:c>
      <x:c r="M140" s="27" t="str">
        <x:v>Concluída</x:v>
      </x:c>
    </x:row>
    <x:row r="141">
      <x:c r="A141" s="27" t="n">
        <x:v>140</x:v>
      </x:c>
      <x:c r="B141" s="30" t="n">
        <x:v>45681</x:v>
      </x:c>
      <x:c r="C141" s="27" t="str">
        <x:v>Xbox Game Pass Ultimate</x:v>
      </x:c>
      <x:c r="D141" s="27" t="str">
        <x:v>Assinatura</x:v>
      </x:c>
      <x:c r="E141" s="27" t="str">
        <x:v>Sudeste</x:v>
      </x:c>
      <x:c r="F141" s="27" t="str">
        <x:v>Loja Física</x:v>
      </x:c>
      <x:c r="G141" s="34" t="n">
        <x:v>19</x:v>
      </x:c>
      <x:c r="H141" s="32" t="n">
        <x:v>53</x:v>
      </x:c>
      <x:c r="I141" s="32" t="n">
        <x:f>G141*H141</x:f>
        <x:v>1007</x:v>
      </x:c>
      <x:c r="J141" s="32" t="n">
        <x:v>24</x:v>
      </x:c>
      <x:c r="K141" s="32" t="n">
        <x:f>G141*J141</x:f>
        <x:v>456</x:v>
      </x:c>
      <x:c r="L141" s="32" t="n">
        <x:f>I141-K141</x:f>
        <x:v>551</x:v>
      </x:c>
      <x:c r="M141" s="27" t="str">
        <x:v>Cancelada</x:v>
      </x:c>
    </x:row>
    <x:row r="142">
      <x:c r="A142" s="27" t="n">
        <x:v>141</x:v>
      </x:c>
      <x:c r="B142" s="30" t="n">
        <x:v>45856</x:v>
      </x:c>
      <x:c r="C142" s="27" t="str">
        <x:v>Xbox Game Pass Ultimate</x:v>
      </x:c>
      <x:c r="D142" s="27" t="str">
        <x:v>Assinatura</x:v>
      </x:c>
      <x:c r="E142" s="27" t="str">
        <x:v>Centro-Oeste</x:v>
      </x:c>
      <x:c r="F142" s="27" t="str">
        <x:v>Loja Física</x:v>
      </x:c>
      <x:c r="G142" s="34" t="n">
        <x:v>74</x:v>
      </x:c>
      <x:c r="H142" s="32" t="n">
        <x:v>62</x:v>
      </x:c>
      <x:c r="I142" s="32" t="n">
        <x:f>G142*H142</x:f>
        <x:v>4588</x:v>
      </x:c>
      <x:c r="J142" s="32" t="n">
        <x:v>26</x:v>
      </x:c>
      <x:c r="K142" s="32" t="n">
        <x:f>G142*J142</x:f>
        <x:v>1924</x:v>
      </x:c>
      <x:c r="L142" s="32" t="n">
        <x:f>I142-K142</x:f>
        <x:v>2664</x:v>
      </x:c>
      <x:c r="M142" s="27" t="str">
        <x:v>Concluída</x:v>
      </x:c>
    </x:row>
    <x:row r="143">
      <x:c r="A143" s="27" t="n">
        <x:v>142</x:v>
      </x:c>
      <x:c r="B143" s="30" t="n">
        <x:v>45870</x:v>
      </x:c>
      <x:c r="C143" s="27" t="str">
        <x:v>Xbox Game Pass Ultimate</x:v>
      </x:c>
      <x:c r="D143" s="27" t="str">
        <x:v>Assinatura</x:v>
      </x:c>
      <x:c r="E143" s="27" t="str">
        <x:v>Sudeste</x:v>
      </x:c>
      <x:c r="F143" s="27" t="str">
        <x:v>Parceiro</x:v>
      </x:c>
      <x:c r="G143" s="34" t="n">
        <x:v>40</x:v>
      </x:c>
      <x:c r="H143" s="32" t="n">
        <x:v>53</x:v>
      </x:c>
      <x:c r="I143" s="32" t="n">
        <x:f>G143*H143</x:f>
        <x:v>2120</x:v>
      </x:c>
      <x:c r="J143" s="32" t="n">
        <x:v>26</x:v>
      </x:c>
      <x:c r="K143" s="32" t="n">
        <x:f>G143*J143</x:f>
        <x:v>1040</x:v>
      </x:c>
      <x:c r="L143" s="32" t="n">
        <x:f>I143-K143</x:f>
        <x:v>1080</x:v>
      </x:c>
      <x:c r="M143" s="27" t="str">
        <x:v>Concluída</x:v>
      </x:c>
    </x:row>
    <x:row r="144">
      <x:c r="A144" s="27" t="n">
        <x:v>143</x:v>
      </x:c>
      <x:c r="B144" s="30" t="n">
        <x:v>45769</x:v>
      </x:c>
      <x:c r="C144" s="27" t="str">
        <x:v>Headset Xbox</x:v>
      </x:c>
      <x:c r="D144" s="27" t="str">
        <x:v>Acessório</x:v>
      </x:c>
      <x:c r="E144" s="27" t="str">
        <x:v>Centro-Oeste</x:v>
      </x:c>
      <x:c r="F144" s="27" t="str">
        <x:v>Parceiro</x:v>
      </x:c>
      <x:c r="G144" s="34" t="n">
        <x:v>12</x:v>
      </x:c>
      <x:c r="H144" s="32" t="n">
        <x:v>539</x:v>
      </x:c>
      <x:c r="I144" s="32" t="n">
        <x:f>G144*H144</x:f>
        <x:v>6468</x:v>
      </x:c>
      <x:c r="J144" s="32" t="n">
        <x:v>357</x:v>
      </x:c>
      <x:c r="K144" s="32" t="n">
        <x:f>G144*J144</x:f>
        <x:v>4284</x:v>
      </x:c>
      <x:c r="L144" s="32" t="n">
        <x:f>I144-K144</x:f>
        <x:v>2184</x:v>
      </x:c>
      <x:c r="M144" s="27" t="str">
        <x:v>Cancelada</x:v>
      </x:c>
    </x:row>
    <x:row r="145">
      <x:c r="A145" s="27" t="n">
        <x:v>144</x:v>
      </x:c>
      <x:c r="B145" s="30" t="n">
        <x:v>45936</x:v>
      </x:c>
      <x:c r="C145" s="27" t="str">
        <x:v>Headset Xbox</x:v>
      </x:c>
      <x:c r="D145" s="27" t="str">
        <x:v>Acessório</x:v>
      </x:c>
      <x:c r="E145" s="27" t="str">
        <x:v>Nordeste</x:v>
      </x:c>
      <x:c r="F145" s="27" t="str">
        <x:v>Loja Online</x:v>
      </x:c>
      <x:c r="G145" s="34" t="n">
        <x:v>7</x:v>
      </x:c>
      <x:c r="H145" s="32" t="n">
        <x:v>539</x:v>
      </x:c>
      <x:c r="I145" s="32" t="n">
        <x:f>G145*H145</x:f>
        <x:v>3773</x:v>
      </x:c>
      <x:c r="J145" s="32" t="n">
        <x:v>350</x:v>
      </x:c>
      <x:c r="K145" s="32" t="n">
        <x:f>G145*J145</x:f>
        <x:v>2450</x:v>
      </x:c>
      <x:c r="L145" s="32" t="n">
        <x:f>I145-K145</x:f>
        <x:v>1323</x:v>
      </x:c>
      <x:c r="M145" s="27" t="str">
        <x:v>Concluída</x:v>
      </x:c>
    </x:row>
    <x:row r="146">
      <x:c r="A146" s="27" t="n">
        <x:v>145</x:v>
      </x:c>
      <x:c r="B146" s="30" t="n">
        <x:v>45997</x:v>
      </x:c>
      <x:c r="C146" s="27" t="str">
        <x:v>Xbox Series S</x:v>
      </x:c>
      <x:c r="D146" s="27" t="str">
        <x:v>Console</x:v>
      </x:c>
      <x:c r="E146" s="27" t="str">
        <x:v>Sul</x:v>
      </x:c>
      <x:c r="F146" s="27" t="str">
        <x:v>Loja Online</x:v>
      </x:c>
      <x:c r="G146" s="34" t="n">
        <x:v>3</x:v>
      </x:c>
      <x:c r="H146" s="32" t="n">
        <x:v>2279</x:v>
      </x:c>
      <x:c r="I146" s="32" t="n">
        <x:f>G146*H146</x:f>
        <x:v>6837</x:v>
      </x:c>
      <x:c r="J146" s="32" t="n">
        <x:v>1764</x:v>
      </x:c>
      <x:c r="K146" s="32" t="n">
        <x:f>G146*J146</x:f>
        <x:v>5292</x:v>
      </x:c>
      <x:c r="L146" s="32" t="n">
        <x:f>I146-K146</x:f>
        <x:v>1545</x:v>
      </x:c>
      <x:c r="M146" s="27" t="str">
        <x:v>Concluída</x:v>
      </x:c>
    </x:row>
    <x:row r="147">
      <x:c r="A147" s="27" t="n">
        <x:v>146</x:v>
      </x:c>
      <x:c r="B147" s="30" t="n">
        <x:v>45693</x:v>
      </x:c>
      <x:c r="C147" s="27" t="str">
        <x:v>Xbox Game Pass Core</x:v>
      </x:c>
      <x:c r="D147" s="27" t="str">
        <x:v>Assinatura</x:v>
      </x:c>
      <x:c r="E147" s="27" t="str">
        <x:v>Norte</x:v>
      </x:c>
      <x:c r="F147" s="27" t="str">
        <x:v>Marketplace</x:v>
      </x:c>
      <x:c r="G147" s="34" t="n">
        <x:v>34</x:v>
      </x:c>
      <x:c r="H147" s="32" t="n">
        <x:v>34</x:v>
      </x:c>
      <x:c r="I147" s="32" t="n">
        <x:f>G147*H147</x:f>
        <x:v>1156</x:v>
      </x:c>
      <x:c r="J147" s="32" t="n">
        <x:v>15</x:v>
      </x:c>
      <x:c r="K147" s="32" t="n">
        <x:f>G147*J147</x:f>
        <x:v>510</x:v>
      </x:c>
      <x:c r="L147" s="32" t="n">
        <x:f>I147-K147</x:f>
        <x:v>646</x:v>
      </x:c>
      <x:c r="M147" s="27" t="str">
        <x:v>Concluída</x:v>
      </x:c>
    </x:row>
    <x:row r="148">
      <x:c r="A148" s="27" t="n">
        <x:v>147</x:v>
      </x:c>
      <x:c r="B148" s="30" t="n">
        <x:v>45799</x:v>
      </x:c>
      <x:c r="C148" s="27" t="str">
        <x:v>Xbox Series X</x:v>
      </x:c>
      <x:c r="D148" s="27" t="str">
        <x:v>Console</x:v>
      </x:c>
      <x:c r="E148" s="27" t="str">
        <x:v>Sul</x:v>
      </x:c>
      <x:c r="F148" s="27" t="str">
        <x:v>Marketplace</x:v>
      </x:c>
      <x:c r="G148" s="34" t="n">
        <x:v>7</x:v>
      </x:c>
      <x:c r="H148" s="32" t="n">
        <x:v>3799</x:v>
      </x:c>
      <x:c r="I148" s="32" t="n">
        <x:f>G148*H148</x:f>
        <x:v>26593</x:v>
      </x:c>
      <x:c r="J148" s="32" t="n">
        <x:v>2989</x:v>
      </x:c>
      <x:c r="K148" s="32" t="n">
        <x:f>G148*J148</x:f>
        <x:v>20923</x:v>
      </x:c>
      <x:c r="L148" s="32" t="n">
        <x:f>I148-K148</x:f>
        <x:v>5670</x:v>
      </x:c>
      <x:c r="M148" s="27" t="str">
        <x:v>Concluída</x:v>
      </x:c>
    </x:row>
    <x:row r="149">
      <x:c r="A149" s="27" t="n">
        <x:v>148</x:v>
      </x:c>
      <x:c r="B149" s="30" t="n">
        <x:v>45725</x:v>
      </x:c>
      <x:c r="C149" s="27" t="str">
        <x:v>Xbox Series X</x:v>
      </x:c>
      <x:c r="D149" s="27" t="str">
        <x:v>Console</x:v>
      </x:c>
      <x:c r="E149" s="27" t="str">
        <x:v>Sudeste</x:v>
      </x:c>
      <x:c r="F149" s="27" t="str">
        <x:v>Loja Física</x:v>
      </x:c>
      <x:c r="G149" s="34" t="n">
        <x:v>2</x:v>
      </x:c>
      <x:c r="H149" s="32" t="n">
        <x:v>3999</x:v>
      </x:c>
      <x:c r="I149" s="32" t="n">
        <x:f>G149*H149</x:f>
        <x:v>7998</x:v>
      </x:c>
      <x:c r="J149" s="32" t="n">
        <x:v>2989</x:v>
      </x:c>
      <x:c r="K149" s="32" t="n">
        <x:f>G149*J149</x:f>
        <x:v>5978</x:v>
      </x:c>
      <x:c r="L149" s="32" t="n">
        <x:f>I149-K149</x:f>
        <x:v>2020</x:v>
      </x:c>
      <x:c r="M149" s="27" t="str">
        <x:v>Concluída</x:v>
      </x:c>
    </x:row>
    <x:row r="150">
      <x:c r="A150" s="27" t="n">
        <x:v>149</x:v>
      </x:c>
      <x:c r="B150" s="30" t="n">
        <x:v>45793</x:v>
      </x:c>
      <x:c r="C150" s="27" t="str">
        <x:v>Xbox Game Pass Ultimate</x:v>
      </x:c>
      <x:c r="D150" s="27" t="str">
        <x:v>Assinatura</x:v>
      </x:c>
      <x:c r="E150" s="27" t="str">
        <x:v>Sudeste</x:v>
      </x:c>
      <x:c r="F150" s="27" t="str">
        <x:v>Marketplace</x:v>
      </x:c>
      <x:c r="G150" s="34" t="n">
        <x:v>72</x:v>
      </x:c>
      <x:c r="H150" s="32" t="n">
        <x:v>53</x:v>
      </x:c>
      <x:c r="I150" s="32" t="n">
        <x:f>G150*H150</x:f>
        <x:v>3816</x:v>
      </x:c>
      <x:c r="J150" s="32" t="n">
        <x:v>26</x:v>
      </x:c>
      <x:c r="K150" s="32" t="n">
        <x:f>G150*J150</x:f>
        <x:v>1872</x:v>
      </x:c>
      <x:c r="L150" s="32" t="n">
        <x:f>I150-K150</x:f>
        <x:v>1944</x:v>
      </x:c>
      <x:c r="M150" s="27" t="str">
        <x:v>Concluída</x:v>
      </x:c>
    </x:row>
    <x:row r="151">
      <x:c r="A151" s="27" t="n">
        <x:v>150</x:v>
      </x:c>
      <x:c r="B151" s="30" t="n">
        <x:v>45901</x:v>
      </x:c>
      <x:c r="C151" s="27" t="str">
        <x:v>Xbox Series S</x:v>
      </x:c>
      <x:c r="D151" s="27" t="str">
        <x:v>Console</x:v>
      </x:c>
      <x:c r="E151" s="27" t="str">
        <x:v>Centro-Oeste</x:v>
      </x:c>
      <x:c r="F151" s="27" t="str">
        <x:v>Loja Física</x:v>
      </x:c>
      <x:c r="G151" s="34" t="n">
        <x:v>1</x:v>
      </x:c>
      <x:c r="H151" s="32" t="n">
        <x:v>2519</x:v>
      </x:c>
      <x:c r="I151" s="32" t="n">
        <x:f>G151*H151</x:f>
        <x:v>2519</x:v>
      </x:c>
      <x:c r="J151" s="32" t="n">
        <x:v>1836</x:v>
      </x:c>
      <x:c r="K151" s="32" t="n">
        <x:f>G151*J151</x:f>
        <x:v>1836</x:v>
      </x:c>
      <x:c r="L151" s="32" t="n">
        <x:f>I151-K151</x:f>
        <x:v>683</x:v>
      </x:c>
      <x:c r="M151" s="27" t="str">
        <x:v>Concluída</x:v>
      </x:c>
    </x:row>
  </x:sheetData>
  <x:conditionalFormatting sqref="M2:M151">
    <x:cfRule type="expression" dxfId="0" priority="1">
      <x:formula>M2="Cancelada"</x:formula>
    </x:cfRule>
  </x:conditionalFormatting>
  <x:conditionalFormatting sqref="L2:L151">
    <x:cfRule type="dataBar" priority="2">
      <x:dataBar>
        <x:cfvo type="min"/>
        <x:cfvo type="max"/>
        <x:color rgb="22C55E"/>
      </x:dataBar>
      <x:extLst>
        <x:ext xmlns:x14="http://schemas.microsoft.com/office/spreadsheetml/2009/9/main" uri="{B025F937-C7B1-47D3-B67F-A62EFF666E3E}">
          <x14:id>{55C70334-53AB-B2FC-8FE7-83BFB132BD84}</x14:id>
        </x:ext>
      </x:extLst>
    </x:cfRule>
  </x:conditionalFormatting>
  <x:dataValidations count="3">
    <x:dataValidation type="list" sqref="E2:E151">
      <x:formula1>Resumo!$Q$2:$Q$6</x:formula1>
    </x:dataValidation>
    <x:dataValidation type="list" sqref="F2:F151">
      <x:formula1>Resumo!$R$2:$R$5</x:formula1>
    </x:dataValidation>
    <x:dataValidation type="list" sqref="M2:M151">
      <x:formula1>Resumo!$P$2:$P$5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2bb128a8934c5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5C70334-53AB-B2FC-8FE7-83BFB132BD84}">
            <x14:dataBar gradient="1">
              <x14:cfvo type="min"/>
              <x14:cfvo type="max"/>
              <x14:fillColor rgb="22C55E"/>
            </x14:dataBar>
          </x14:cfRule>
          <xm:sqref>L2:L151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2" hidden="0" customWidth="1"/>
    <x:col min="5" max="5" width="18" hidden="0" customWidth="1"/>
    <x:col min="6" max="6" width="18" hidden="0" customWidth="1"/>
    <x:col min="7" max="7" width="14" hidden="0" customWidth="1"/>
    <x:col min="8" max="8" width="12" hidden="0" customWidth="1"/>
    <x:col min="9" max="9" width="12" hidden="0" customWidth="1"/>
    <x:col min="10" max="10" width="24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6" max="16" width="2" hidden="0" customWidth="1"/>
    <x:col min="17" max="17" width="2" hidden="0" customWidth="1"/>
    <x:col min="18" max="18" width="2" hidden="0" customWidth="1"/>
  </x:cols>
  <x:sheetData>
    <x:row r="1" ht="28" customHeight="1">
      <x:c r="A1" s="37" t="str">
        <x:v>Tabelas de Resumo - Dashboard Xbox</x:v>
      </x:c>
      <x:c r="P1" s="88" t="str">
        <x:v>Status</x:v>
      </x:c>
      <x:c r="Q1" s="88" t="str">
        <x:v>Regiões</x:v>
      </x:c>
      <x:c r="R1" s="88" t="str">
        <x:v>Canais</x:v>
      </x:c>
    </x:row>
    <x:row r="2">
      <x:c r="P2" t="str">
        <x:v>Concluída</x:v>
      </x:c>
      <x:c r="Q2" t="str">
        <x:v>Sudeste</x:v>
      </x:c>
      <x:c r="R2" t="str">
        <x:v>Loja Online</x:v>
      </x:c>
    </x:row>
    <x:row r="3">
      <x:c r="A3" s="22" t="str">
        <x:v>Indicador</x:v>
      </x:c>
      <x:c r="B3" s="22" t="str">
        <x:v>Valor</x:v>
      </x:c>
      <x:c r="C3" t="str">
        <x:v>Mês Num</x:v>
      </x:c>
      <x:c r="D3" s="22" t="str">
        <x:v>Mês</x:v>
      </x:c>
      <x:c r="E3" s="22" t="str">
        <x:v>Receita</x:v>
      </x:c>
      <x:c r="F3" s="22" t="str">
        <x:v>Lucro</x:v>
      </x:c>
      <x:c r="G3" s="22" t="str">
        <x:v>Quantidade</x:v>
      </x:c>
      <x:c r="H3" s="22" t="str">
        <x:v>Pedidos</x:v>
      </x:c>
      <x:c r="J3" s="22" t="str">
        <x:v>Produto</x:v>
      </x:c>
      <x:c r="K3" s="22" t="str">
        <x:v>Receita</x:v>
      </x:c>
      <x:c r="L3" s="22" t="str">
        <x:v>Lucro</x:v>
      </x:c>
      <x:c r="M3" s="22" t="str">
        <x:v>Quantidade</x:v>
      </x:c>
      <x:c r="N3" s="22" t="str">
        <x:v>% Receita</x:v>
      </x:c>
      <x:c r="P3" t="str">
        <x:v>Cancelada</x:v>
      </x:c>
      <x:c r="Q3" t="str">
        <x:v>Sul</x:v>
      </x:c>
      <x:c r="R3" t="str">
        <x:v>Marketplace</x:v>
      </x:c>
    </x:row>
    <x:row r="4">
      <x:c r="A4" s="41" t="str">
        <x:v>Receita Total</x:v>
      </x:c>
      <x:c r="B4" s="44" t="n">
        <x:f>SUMIFS(Dados_Vendas!$I$2:$I$151,Dados_Vendas!$M$2:$M$151,"Concluída")</x:f>
        <x:v>941496</x:v>
      </x:c>
      <x:c r="C4" t="n">
        <x:v>1</x:v>
      </x:c>
      <x:c r="D4" t="str">
        <x:v>Jan/2025</x:v>
      </x:c>
      <x:c r="E4" s="44" t="n">
        <x:f>SUMIFS(Dados_Vendas!$I$2:$I$151,Dados_Vendas!$M$2:$M$151,"Concluída",Dados_Vendas!$B$2:$B$151,"&gt;="&amp;DATE(2025,C4,1),Dados_Vendas!$B$2:$B$151,"&lt;"&amp;EDATE(DATE(2025,C4,1),1))</x:f>
        <x:v>49705</x:v>
      </x:c>
      <x:c r="F4" s="44" t="n">
        <x:f>SUMIFS(Dados_Vendas!$L$2:$L$151,Dados_Vendas!$M$2:$M$151,"Concluída",Dados_Vendas!$B$2:$B$151,"&gt;="&amp;DATE(2025,C4,1),Dados_Vendas!$B$2:$B$151,"&lt;"&amp;EDATE(DATE(2025,C4,1),1))</x:f>
        <x:v>14672</x:v>
      </x:c>
      <x:c r="G4" s="46" t="n">
        <x:f>SUMIFS(Dados_Vendas!$G$2:$G$151,Dados_Vendas!$M$2:$M$151,"Concluída",Dados_Vendas!$B$2:$B$151,"&gt;="&amp;DATE(2025,C4,1),Dados_Vendas!$B$2:$B$151,"&lt;"&amp;EDATE(DATE(2025,C4,1),1))</x:f>
        <x:v>153</x:v>
      </x:c>
      <x:c r="H4" s="46" t="n">
        <x:f>COUNTIFS(Dados_Vendas!$M$2:$M$151,"Concluída",Dados_Vendas!$B$2:$B$151,"&gt;="&amp;DATE(2025,C4,1),Dados_Vendas!$B$2:$B$151,"&lt;"&amp;EDATE(DATE(2025,C4,1),1))</x:f>
        <x:v>8</x:v>
      </x:c>
      <x:c r="J4" t="str">
        <x:v>Xbox Series X</x:v>
      </x:c>
      <x:c r="K4" s="44" t="n">
        <x:f>SUMIFS(Dados_Vendas!$I$2:$I$151,Dados_Vendas!$C$2:$C$151,J4,Dados_Vendas!$M$2:$M$151,"Concluída")</x:f>
        <x:v>279127</x:v>
      </x:c>
      <x:c r="L4" s="44" t="n">
        <x:f>SUMIFS(Dados_Vendas!$L$2:$L$151,Dados_Vendas!$C$2:$C$151,J4,Dados_Vendas!$M$2:$M$151,"Concluída")</x:f>
        <x:v>58246</x:v>
      </x:c>
      <x:c r="M4" s="46" t="n">
        <x:f>SUMIFS(Dados_Vendas!$G$2:$G$151,Dados_Vendas!$C$2:$C$151,J4,Dados_Vendas!$M$2:$M$151,"Concluída")</x:f>
        <x:v>73</x:v>
      </x:c>
      <x:c r="N4" s="48" t="n">
        <x:f>IFERROR(K4/$B$4,0)</x:f>
        <x:v>0.29647178532888085</x:v>
      </x:c>
      <x:c r="P4" t="str">
        <x:v>Pendente</x:v>
      </x:c>
      <x:c r="Q4" t="str">
        <x:v>Nordeste</x:v>
      </x:c>
      <x:c r="R4" t="str">
        <x:v>Loja Física</x:v>
      </x:c>
    </x:row>
    <x:row r="5">
      <x:c r="A5" s="41" t="str">
        <x:v>Lucro Total</x:v>
      </x:c>
      <x:c r="B5" s="44" t="n">
        <x:f>SUMIFS(Dados_Vendas!$L$2:$L$151,Dados_Vendas!$M$2:$M$151,"Concluída")</x:f>
        <x:v>281910</x:v>
      </x:c>
      <x:c r="C5" t="n">
        <x:v>2</x:v>
      </x:c>
      <x:c r="D5" t="str">
        <x:v>Fev/2025</x:v>
      </x:c>
      <x:c r="E5" s="44" t="n">
        <x:f>SUMIFS(Dados_Vendas!$I$2:$I$151,Dados_Vendas!$M$2:$M$151,"Concluída",Dados_Vendas!$B$2:$B$151,"&gt;="&amp;DATE(2025,C5,1),Dados_Vendas!$B$2:$B$151,"&lt;"&amp;EDATE(DATE(2025,C5,1),1))</x:f>
        <x:v>127039</x:v>
      </x:c>
      <x:c r="F5" s="44" t="n">
        <x:f>SUMIFS(Dados_Vendas!$L$2:$L$151,Dados_Vendas!$M$2:$M$151,"Concluída",Dados_Vendas!$B$2:$B$151,"&gt;="&amp;DATE(2025,C5,1),Dados_Vendas!$B$2:$B$151,"&lt;"&amp;EDATE(DATE(2025,C5,1),1))</x:f>
        <x:v>36583</x:v>
      </x:c>
      <x:c r="G5" s="46" t="n">
        <x:f>SUMIFS(Dados_Vendas!$G$2:$G$151,Dados_Vendas!$M$2:$M$151,"Concluída",Dados_Vendas!$B$2:$B$151,"&gt;="&amp;DATE(2025,C5,1),Dados_Vendas!$B$2:$B$151,"&lt;"&amp;EDATE(DATE(2025,C5,1),1))</x:f>
        <x:v>406</x:v>
      </x:c>
      <x:c r="H5" s="46" t="n">
        <x:f>COUNTIFS(Dados_Vendas!$M$2:$M$151,"Concluída",Dados_Vendas!$B$2:$B$151,"&gt;="&amp;DATE(2025,C5,1),Dados_Vendas!$B$2:$B$151,"&lt;"&amp;EDATE(DATE(2025,C5,1),1))</x:f>
        <x:v>15</x:v>
      </x:c>
      <x:c r="J5" t="str">
        <x:v>Xbox Series S</x:v>
      </x:c>
      <x:c r="K5" s="44" t="n">
        <x:f>SUMIFS(Dados_Vendas!$I$2:$I$151,Dados_Vendas!$C$2:$C$151,J5,Dados_Vendas!$M$2:$M$151,"Concluída")</x:f>
        <x:v>141901</x:v>
      </x:c>
      <x:c r="L5" s="44" t="n">
        <x:f>SUMIFS(Dados_Vendas!$L$2:$L$151,Dados_Vendas!$C$2:$C$151,J5,Dados_Vendas!$M$2:$M$151,"Concluída")</x:f>
        <x:v>35989</x:v>
      </x:c>
      <x:c r="M5" s="46" t="n">
        <x:f>SUMIFS(Dados_Vendas!$G$2:$G$151,Dados_Vendas!$C$2:$C$151,J5,Dados_Vendas!$M$2:$M$151,"Concluída")</x:f>
        <x:v>59</x:v>
      </x:c>
      <x:c r="N5" s="48" t="n">
        <x:f>IFERROR(K5/$B$4,0)</x:f>
        <x:v>0.15071864352052478</x:v>
      </x:c>
      <x:c r="P5" t="str">
        <x:v>Devolvida</x:v>
      </x:c>
      <x:c r="Q5" t="str">
        <x:v>Centro-Oeste</x:v>
      </x:c>
      <x:c r="R5" t="str">
        <x:v>Parceiro</x:v>
      </x:c>
    </x:row>
    <x:row r="6">
      <x:c r="A6" s="41" t="str">
        <x:v>Quantidade Vendida</x:v>
      </x:c>
      <x:c r="B6" s="46" t="n">
        <x:f>SUMIFS(Dados_Vendas!$G$2:$G$151,Dados_Vendas!$M$2:$M$151,"Concluída")</x:f>
        <x:v>2895</x:v>
      </x:c>
      <x:c r="C6" t="n">
        <x:v>3</x:v>
      </x:c>
      <x:c r="D6" t="str">
        <x:v>Mar/2025</x:v>
      </x:c>
      <x:c r="E6" s="44" t="n">
        <x:f>SUMIFS(Dados_Vendas!$I$2:$I$151,Dados_Vendas!$M$2:$M$151,"Concluída",Dados_Vendas!$B$2:$B$151,"&gt;="&amp;DATE(2025,C6,1),Dados_Vendas!$B$2:$B$151,"&lt;"&amp;EDATE(DATE(2025,C6,1),1))</x:f>
        <x:v>52312</x:v>
      </x:c>
      <x:c r="F6" s="44" t="n">
        <x:f>SUMIFS(Dados_Vendas!$L$2:$L$151,Dados_Vendas!$M$2:$M$151,"Concluída",Dados_Vendas!$B$2:$B$151,"&gt;="&amp;DATE(2025,C6,1),Dados_Vendas!$B$2:$B$151,"&lt;"&amp;EDATE(DATE(2025,C6,1),1))</x:f>
        <x:v>16771</x:v>
      </x:c>
      <x:c r="G6" s="46" t="n">
        <x:f>SUMIFS(Dados_Vendas!$G$2:$G$151,Dados_Vendas!$M$2:$M$151,"Concluída",Dados_Vendas!$B$2:$B$151,"&gt;="&amp;DATE(2025,C6,1),Dados_Vendas!$B$2:$B$151,"&lt;"&amp;EDATE(DATE(2025,C6,1),1))</x:f>
        <x:v>198</x:v>
      </x:c>
      <x:c r="H6" s="46" t="n">
        <x:f>COUNTIFS(Dados_Vendas!$M$2:$M$151,"Concluída",Dados_Vendas!$B$2:$B$151,"&gt;="&amp;DATE(2025,C6,1),Dados_Vendas!$B$2:$B$151,"&lt;"&amp;EDATE(DATE(2025,C6,1),1))</x:f>
        <x:v>11</x:v>
      </x:c>
      <x:c r="J6" t="str">
        <x:v>Xbox Game Pass Ultimate</x:v>
      </x:c>
      <x:c r="K6" s="44" t="n">
        <x:f>SUMIFS(Dados_Vendas!$I$2:$I$151,Dados_Vendas!$C$2:$C$151,J6,Dados_Vendas!$M$2:$M$151,"Concluída")</x:f>
        <x:v>41461</x:v>
      </x:c>
      <x:c r="L6" s="44" t="n">
        <x:f>SUMIFS(Dados_Vendas!$L$2:$L$151,Dados_Vendas!$C$2:$C$151,J6,Dados_Vendas!$M$2:$M$151,"Concluída")</x:f>
        <x:v>23363</x:v>
      </x:c>
      <x:c r="M6" s="46" t="n">
        <x:f>SUMIFS(Dados_Vendas!$G$2:$G$151,Dados_Vendas!$C$2:$C$151,J6,Dados_Vendas!$M$2:$M$151,"Concluída")</x:f>
        <x:v>719</x:v>
      </x:c>
      <x:c r="N6" s="48" t="n">
        <x:f>IFERROR(K6/$B$4,0)</x:f>
        <x:v>0.04403736181566358</x:v>
      </x:c>
      <x:c r="Q6" t="str">
        <x:v>Norte</x:v>
      </x:c>
    </x:row>
    <x:row r="7">
      <x:c r="A7" s="41" t="str">
        <x:v>Ticket Médio</x:v>
      </x:c>
      <x:c r="B7" s="44" t="n">
        <x:f>IFERROR(B4/B6,0)</x:f>
        <x:v>325.21450777202074</x:v>
      </x:c>
      <x:c r="C7" t="n">
        <x:v>4</x:v>
      </x:c>
      <x:c r="D7" t="str">
        <x:v>Abr/2025</x:v>
      </x:c>
      <x:c r="E7" s="44" t="n">
        <x:f>SUMIFS(Dados_Vendas!$I$2:$I$151,Dados_Vendas!$M$2:$M$151,"Concluída",Dados_Vendas!$B$2:$B$151,"&gt;="&amp;DATE(2025,C7,1),Dados_Vendas!$B$2:$B$151,"&lt;"&amp;EDATE(DATE(2025,C7,1),1))</x:f>
        <x:v>53429</x:v>
      </x:c>
      <x:c r="F7" s="44" t="n">
        <x:f>SUMIFS(Dados_Vendas!$L$2:$L$151,Dados_Vendas!$M$2:$M$151,"Concluída",Dados_Vendas!$B$2:$B$151,"&gt;="&amp;DATE(2025,C7,1),Dados_Vendas!$B$2:$B$151,"&lt;"&amp;EDATE(DATE(2025,C7,1),1))</x:f>
        <x:v>16366</x:v>
      </x:c>
      <x:c r="G7" s="46" t="n">
        <x:f>SUMIFS(Dados_Vendas!$G$2:$G$151,Dados_Vendas!$M$2:$M$151,"Concluída",Dados_Vendas!$B$2:$B$151,"&gt;="&amp;DATE(2025,C7,1),Dados_Vendas!$B$2:$B$151,"&lt;"&amp;EDATE(DATE(2025,C7,1),1))</x:f>
        <x:v>186</x:v>
      </x:c>
      <x:c r="H7" s="46" t="n">
        <x:f>COUNTIFS(Dados_Vendas!$M$2:$M$151,"Concluída",Dados_Vendas!$B$2:$B$151,"&gt;="&amp;DATE(2025,C7,1),Dados_Vendas!$B$2:$B$151,"&lt;"&amp;EDATE(DATE(2025,C7,1),1))</x:f>
        <x:v>11</x:v>
      </x:c>
      <x:c r="J7" t="str">
        <x:v>Xbox Game Pass Core</x:v>
      </x:c>
      <x:c r="K7" s="44" t="n">
        <x:f>SUMIFS(Dados_Vendas!$I$2:$I$151,Dados_Vendas!$C$2:$C$151,J7,Dados_Vendas!$M$2:$M$151,"Concluída")</x:f>
        <x:v>31746</x:v>
      </x:c>
      <x:c r="L7" s="44" t="n">
        <x:f>SUMIFS(Dados_Vendas!$L$2:$L$151,Dados_Vendas!$C$2:$C$151,J7,Dados_Vendas!$M$2:$M$151,"Concluída")</x:f>
        <x:v>17466</x:v>
      </x:c>
      <x:c r="M7" s="46" t="n">
        <x:f>SUMIFS(Dados_Vendas!$G$2:$G$151,Dados_Vendas!$C$2:$C$151,J7,Dados_Vendas!$M$2:$M$151,"Concluída")</x:f>
        <x:v>952</x:v>
      </x:c>
      <x:c r="N7" s="48" t="n">
        <x:f>IFERROR(K7/$B$4,0)</x:f>
        <x:v>0.033718677508985696</x:v>
      </x:c>
    </x:row>
    <x:row r="8">
      <x:c r="A8" s="41" t="str">
        <x:v>Margem de Lucro</x:v>
      </x:c>
      <x:c r="B8" s="48" t="n">
        <x:f>IFERROR(B5/B4,0)</x:f>
        <x:v>0.2994277192893013</x:v>
      </x:c>
      <x:c r="C8" t="n">
        <x:v>5</x:v>
      </x:c>
      <x:c r="D8" t="str">
        <x:v>Mai/2025</x:v>
      </x:c>
      <x:c r="E8" s="44" t="n">
        <x:f>SUMIFS(Dados_Vendas!$I$2:$I$151,Dados_Vendas!$M$2:$M$151,"Concluída",Dados_Vendas!$B$2:$B$151,"&gt;="&amp;DATE(2025,C8,1),Dados_Vendas!$B$2:$B$151,"&lt;"&amp;EDATE(DATE(2025,C8,1),1))</x:f>
        <x:v>70454</x:v>
      </x:c>
      <x:c r="F8" s="44" t="n">
        <x:f>SUMIFS(Dados_Vendas!$L$2:$L$151,Dados_Vendas!$M$2:$M$151,"Concluída",Dados_Vendas!$B$2:$B$151,"&gt;="&amp;DATE(2025,C8,1),Dados_Vendas!$B$2:$B$151,"&lt;"&amp;EDATE(DATE(2025,C8,1),1))</x:f>
        <x:v>23307</x:v>
      </x:c>
      <x:c r="G8" s="46" t="n">
        <x:f>SUMIFS(Dados_Vendas!$G$2:$G$151,Dados_Vendas!$M$2:$M$151,"Concluída",Dados_Vendas!$B$2:$B$151,"&gt;="&amp;DATE(2025,C8,1),Dados_Vendas!$B$2:$B$151,"&lt;"&amp;EDATE(DATE(2025,C8,1),1))</x:f>
        <x:v>442</x:v>
      </x:c>
      <x:c r="H8" s="46" t="n">
        <x:f>COUNTIFS(Dados_Vendas!$M$2:$M$151,"Concluída",Dados_Vendas!$B$2:$B$151,"&gt;="&amp;DATE(2025,C8,1),Dados_Vendas!$B$2:$B$151,"&lt;"&amp;EDATE(DATE(2025,C8,1),1))</x:f>
        <x:v>10</x:v>
      </x:c>
      <x:c r="J8" t="str">
        <x:v>Controle Xbox Wireless</x:v>
      </x:c>
      <x:c r="K8" s="44" t="n">
        <x:f>SUMIFS(Dados_Vendas!$I$2:$I$151,Dados_Vendas!$C$2:$C$151,J8,Dados_Vendas!$M$2:$M$151,"Concluída")</x:f>
        <x:v>74970</x:v>
      </x:c>
      <x:c r="L8" s="44" t="n">
        <x:f>SUMIFS(Dados_Vendas!$L$2:$L$151,Dados_Vendas!$C$2:$C$151,J8,Dados_Vendas!$M$2:$M$151,"Concluída")</x:f>
        <x:v>30900</x:v>
      </x:c>
      <x:c r="M8" s="46" t="n">
        <x:f>SUMIFS(Dados_Vendas!$G$2:$G$151,Dados_Vendas!$C$2:$C$151,J8,Dados_Vendas!$M$2:$M$151,"Concluída")</x:f>
        <x:v>169</x:v>
      </x:c>
      <x:c r="N8" s="48" t="n">
        <x:f>IFERROR(K8/$B$4,0)</x:f>
        <x:v>0.07962859109332382</x:v>
      </x:c>
    </x:row>
    <x:row r="9">
      <x:c r="C9" t="n">
        <x:v>6</x:v>
      </x:c>
      <x:c r="D9" t="str">
        <x:v>Jun/2025</x:v>
      </x:c>
      <x:c r="E9" s="44" t="n">
        <x:f>SUMIFS(Dados_Vendas!$I$2:$I$151,Dados_Vendas!$M$2:$M$151,"Concluída",Dados_Vendas!$B$2:$B$151,"&gt;="&amp;DATE(2025,C9,1),Dados_Vendas!$B$2:$B$151,"&lt;"&amp;EDATE(DATE(2025,C9,1),1))</x:f>
        <x:v>125849</x:v>
      </x:c>
      <x:c r="F9" s="44" t="n">
        <x:f>SUMIFS(Dados_Vendas!$L$2:$L$151,Dados_Vendas!$M$2:$M$151,"Concluída",Dados_Vendas!$B$2:$B$151,"&gt;="&amp;DATE(2025,C9,1),Dados_Vendas!$B$2:$B$151,"&lt;"&amp;EDATE(DATE(2025,C9,1),1))</x:f>
        <x:v>34276</x:v>
      </x:c>
      <x:c r="G9" s="46" t="n">
        <x:f>SUMIFS(Dados_Vendas!$G$2:$G$151,Dados_Vendas!$M$2:$M$151,"Concluída",Dados_Vendas!$B$2:$B$151,"&gt;="&amp;DATE(2025,C9,1),Dados_Vendas!$B$2:$B$151,"&lt;"&amp;EDATE(DATE(2025,C9,1),1))</x:f>
        <x:v>136</x:v>
      </x:c>
      <x:c r="H9" s="46" t="n">
        <x:f>COUNTIFS(Dados_Vendas!$M$2:$M$151,"Concluída",Dados_Vendas!$B$2:$B$151,"&gt;="&amp;DATE(2025,C9,1),Dados_Vendas!$B$2:$B$151,"&lt;"&amp;EDATE(DATE(2025,C9,1),1))</x:f>
        <x:v>12</x:v>
      </x:c>
      <x:c r="J9" t="str">
        <x:v>Headset Xbox</x:v>
      </x:c>
      <x:c r="K9" s="44" t="n">
        <x:f>SUMIFS(Dados_Vendas!$I$2:$I$151,Dados_Vendas!$C$2:$C$151,J9,Dados_Vendas!$M$2:$M$151,"Concluída")</x:f>
        <x:v>89964</x:v>
      </x:c>
      <x:c r="L9" s="44" t="n">
        <x:f>SUMIFS(Dados_Vendas!$L$2:$L$151,Dados_Vendas!$C$2:$C$151,J9,Dados_Vendas!$M$2:$M$151,"Concluída")</x:f>
        <x:v>35133</x:v>
      </x:c>
      <x:c r="M9" s="46" t="n">
        <x:f>SUMIFS(Dados_Vendas!$G$2:$G$151,Dados_Vendas!$C$2:$C$151,J9,Dados_Vendas!$M$2:$M$151,"Concluída")</x:f>
        <x:v>156</x:v>
      </x:c>
      <x:c r="N9" s="48" t="n">
        <x:f>IFERROR(K9/$B$4,0)</x:f>
        <x:v>0.09555430931198858</x:v>
      </x:c>
    </x:row>
    <x:row r="10">
      <x:c r="C10" t="n">
        <x:v>7</x:v>
      </x:c>
      <x:c r="D10" t="str">
        <x:v>Jul/2025</x:v>
      </x:c>
      <x:c r="E10" s="44" t="n">
        <x:f>SUMIFS(Dados_Vendas!$I$2:$I$151,Dados_Vendas!$M$2:$M$151,"Concluída",Dados_Vendas!$B$2:$B$151,"&gt;="&amp;DATE(2025,C10,1),Dados_Vendas!$B$2:$B$151,"&lt;"&amp;EDATE(DATE(2025,C10,1),1))</x:f>
        <x:v>90197</x:v>
      </x:c>
      <x:c r="F10" s="44" t="n">
        <x:f>SUMIFS(Dados_Vendas!$L$2:$L$151,Dados_Vendas!$M$2:$M$151,"Concluída",Dados_Vendas!$B$2:$B$151,"&gt;="&amp;DATE(2025,C10,1),Dados_Vendas!$B$2:$B$151,"&lt;"&amp;EDATE(DATE(2025,C10,1),1))</x:f>
        <x:v>29299</x:v>
      </x:c>
      <x:c r="G10" s="46" t="n">
        <x:f>SUMIFS(Dados_Vendas!$G$2:$G$151,Dados_Vendas!$M$2:$M$151,"Concluída",Dados_Vendas!$B$2:$B$151,"&gt;="&amp;DATE(2025,C10,1),Dados_Vendas!$B$2:$B$151,"&lt;"&amp;EDATE(DATE(2025,C10,1),1))</x:f>
        <x:v>189</x:v>
      </x:c>
      <x:c r="H10" s="46" t="n">
        <x:f>COUNTIFS(Dados_Vendas!$M$2:$M$151,"Concluída",Dados_Vendas!$B$2:$B$151,"&gt;="&amp;DATE(2025,C10,1),Dados_Vendas!$B$2:$B$151,"&lt;"&amp;EDATE(DATE(2025,C10,1),1))</x:f>
        <x:v>12</x:v>
      </x:c>
      <x:c r="J10" t="str">
        <x:v>Gift Card Xbox</x:v>
      </x:c>
      <x:c r="K10" s="44" t="n">
        <x:f>SUMIFS(Dados_Vendas!$I$2:$I$151,Dados_Vendas!$C$2:$C$151,J10,Dados_Vendas!$M$2:$M$151,"Concluída")</x:f>
        <x:v>58580</x:v>
      </x:c>
      <x:c r="L10" s="44" t="n">
        <x:f>SUMIFS(Dados_Vendas!$L$2:$L$151,Dados_Vendas!$C$2:$C$151,J10,Dados_Vendas!$M$2:$M$151,"Concluída")</x:f>
        <x:v>17482</x:v>
      </x:c>
      <x:c r="M10" s="46" t="n">
        <x:f>SUMIFS(Dados_Vendas!$G$2:$G$151,Dados_Vendas!$C$2:$C$151,J10,Dados_Vendas!$M$2:$M$151,"Concluída")</x:f>
        <x:v>589</x:v>
      </x:c>
      <x:c r="N10" s="48" t="n">
        <x:f>IFERROR(K10/$B$4,0)</x:f>
        <x:v>0.06222012626713231</x:v>
      </x:c>
    </x:row>
    <x:row r="11">
      <x:c r="C11" t="n">
        <x:v>8</x:v>
      </x:c>
      <x:c r="D11" t="str">
        <x:v>Ago/2025</x:v>
      </x:c>
      <x:c r="E11" s="44" t="n">
        <x:f>SUMIFS(Dados_Vendas!$I$2:$I$151,Dados_Vendas!$M$2:$M$151,"Concluída",Dados_Vendas!$B$2:$B$151,"&gt;="&amp;DATE(2025,C11,1),Dados_Vendas!$B$2:$B$151,"&lt;"&amp;EDATE(DATE(2025,C11,1),1))</x:f>
        <x:v>67718</x:v>
      </x:c>
      <x:c r="F11" s="44" t="n">
        <x:f>SUMIFS(Dados_Vendas!$L$2:$L$151,Dados_Vendas!$M$2:$M$151,"Concluída",Dados_Vendas!$B$2:$B$151,"&gt;="&amp;DATE(2025,C11,1),Dados_Vendas!$B$2:$B$151,"&lt;"&amp;EDATE(DATE(2025,C11,1),1))</x:f>
        <x:v>21819</x:v>
      </x:c>
      <x:c r="G11" s="46" t="n">
        <x:f>SUMIFS(Dados_Vendas!$G$2:$G$151,Dados_Vendas!$M$2:$M$151,"Concluída",Dados_Vendas!$B$2:$B$151,"&gt;="&amp;DATE(2025,C11,1),Dados_Vendas!$B$2:$B$151,"&lt;"&amp;EDATE(DATE(2025,C11,1),1))</x:f>
        <x:v>177</x:v>
      </x:c>
      <x:c r="H11" s="46" t="n">
        <x:f>COUNTIFS(Dados_Vendas!$M$2:$M$151,"Concluída",Dados_Vendas!$B$2:$B$151,"&gt;="&amp;DATE(2025,C11,1),Dados_Vendas!$B$2:$B$151,"&lt;"&amp;EDATE(DATE(2025,C11,1),1))</x:f>
        <x:v>8</x:v>
      </x:c>
      <x:c r="J11" t="str">
        <x:v>SSD Expansion Card</x:v>
      </x:c>
      <x:c r="K11" s="44" t="n">
        <x:f>SUMIFS(Dados_Vendas!$I$2:$I$151,Dados_Vendas!$C$2:$C$151,J11,Dados_Vendas!$M$2:$M$151,"Concluída")</x:f>
        <x:v>223747</x:v>
      </x:c>
      <x:c r="L11" s="44" t="n">
        <x:f>SUMIFS(Dados_Vendas!$L$2:$L$151,Dados_Vendas!$C$2:$C$151,J11,Dados_Vendas!$M$2:$M$151,"Concluída")</x:f>
        <x:v>63331</x:v>
      </x:c>
      <x:c r="M11" s="46" t="n">
        <x:f>SUMIFS(Dados_Vendas!$G$2:$G$151,Dados_Vendas!$C$2:$C$151,J11,Dados_Vendas!$M$2:$M$151,"Concluída")</x:f>
        <x:v>178</x:v>
      </x:c>
      <x:c r="N11" s="48" t="n">
        <x:f>IFERROR(K11/$B$4,0)</x:f>
        <x:v>0.2376505051535004</x:v>
      </x:c>
    </x:row>
    <x:row r="12">
      <x:c r="C12" t="n">
        <x:v>9</x:v>
      </x:c>
      <x:c r="D12" t="str">
        <x:v>Set/2025</x:v>
      </x:c>
      <x:c r="E12" s="44" t="n">
        <x:f>SUMIFS(Dados_Vendas!$I$2:$I$151,Dados_Vendas!$M$2:$M$151,"Concluída",Dados_Vendas!$B$2:$B$151,"&gt;="&amp;DATE(2025,C12,1),Dados_Vendas!$B$2:$B$151,"&lt;"&amp;EDATE(DATE(2025,C12,1),1))</x:f>
        <x:v>42908</x:v>
      </x:c>
      <x:c r="F12" s="44" t="n">
        <x:f>SUMIFS(Dados_Vendas!$L$2:$L$151,Dados_Vendas!$M$2:$M$151,"Concluída",Dados_Vendas!$B$2:$B$151,"&gt;="&amp;DATE(2025,C12,1),Dados_Vendas!$B$2:$B$151,"&lt;"&amp;EDATE(DATE(2025,C12,1),1))</x:f>
        <x:v>15604</x:v>
      </x:c>
      <x:c r="G12" s="46" t="n">
        <x:f>SUMIFS(Dados_Vendas!$G$2:$G$151,Dados_Vendas!$M$2:$M$151,"Concluída",Dados_Vendas!$B$2:$B$151,"&gt;="&amp;DATE(2025,C12,1),Dados_Vendas!$B$2:$B$151,"&lt;"&amp;EDATE(DATE(2025,C12,1),1))</x:f>
        <x:v>343</x:v>
      </x:c>
      <x:c r="H12" s="46" t="n">
        <x:f>COUNTIFS(Dados_Vendas!$M$2:$M$151,"Concluída",Dados_Vendas!$B$2:$B$151,"&gt;="&amp;DATE(2025,C12,1),Dados_Vendas!$B$2:$B$151,"&lt;"&amp;EDATE(DATE(2025,C12,1),1))</x:f>
        <x:v>11</x:v>
      </x:c>
    </x:row>
    <x:row r="13">
      <x:c r="C13" t="n">
        <x:v>10</x:v>
      </x:c>
      <x:c r="D13" t="str">
        <x:v>Out/2025</x:v>
      </x:c>
      <x:c r="E13" s="44" t="n">
        <x:f>SUMIFS(Dados_Vendas!$I$2:$I$151,Dados_Vendas!$M$2:$M$151,"Concluída",Dados_Vendas!$B$2:$B$151,"&gt;="&amp;DATE(2025,C13,1),Dados_Vendas!$B$2:$B$151,"&lt;"&amp;EDATE(DATE(2025,C13,1),1))</x:f>
        <x:v>143959</x:v>
      </x:c>
      <x:c r="F13" s="44" t="n">
        <x:f>SUMIFS(Dados_Vendas!$L$2:$L$151,Dados_Vendas!$M$2:$M$151,"Concluída",Dados_Vendas!$B$2:$B$151,"&gt;="&amp;DATE(2025,C13,1),Dados_Vendas!$B$2:$B$151,"&lt;"&amp;EDATE(DATE(2025,C13,1),1))</x:f>
        <x:v>38415</x:v>
      </x:c>
      <x:c r="G13" s="46" t="n">
        <x:f>SUMIFS(Dados_Vendas!$G$2:$G$151,Dados_Vendas!$M$2:$M$151,"Concluída",Dados_Vendas!$B$2:$B$151,"&gt;="&amp;DATE(2025,C13,1),Dados_Vendas!$B$2:$B$151,"&lt;"&amp;EDATE(DATE(2025,C13,1),1))</x:f>
        <x:v>288</x:v>
      </x:c>
      <x:c r="H13" s="46" t="n">
        <x:f>COUNTIFS(Dados_Vendas!$M$2:$M$151,"Concluída",Dados_Vendas!$B$2:$B$151,"&gt;="&amp;DATE(2025,C13,1),Dados_Vendas!$B$2:$B$151,"&lt;"&amp;EDATE(DATE(2025,C13,1),1))</x:f>
        <x:v>15</x:v>
      </x:c>
    </x:row>
    <x:row r="14">
      <x:c r="C14" t="n">
        <x:v>11</x:v>
      </x:c>
      <x:c r="D14" t="str">
        <x:v>Nov/2025</x:v>
      </x:c>
      <x:c r="E14" s="44" t="n">
        <x:f>SUMIFS(Dados_Vendas!$I$2:$I$151,Dados_Vendas!$M$2:$M$151,"Concluída",Dados_Vendas!$B$2:$B$151,"&gt;="&amp;DATE(2025,C14,1),Dados_Vendas!$B$2:$B$151,"&lt;"&amp;EDATE(DATE(2025,C14,1),1))</x:f>
        <x:v>75982</x:v>
      </x:c>
      <x:c r="F14" s="44" t="n">
        <x:f>SUMIFS(Dados_Vendas!$L$2:$L$151,Dados_Vendas!$M$2:$M$151,"Concluída",Dados_Vendas!$B$2:$B$151,"&gt;="&amp;DATE(2025,C14,1),Dados_Vendas!$B$2:$B$151,"&lt;"&amp;EDATE(DATE(2025,C14,1),1))</x:f>
        <x:v>21295</x:v>
      </x:c>
      <x:c r="G14" s="46" t="n">
        <x:f>SUMIFS(Dados_Vendas!$G$2:$G$151,Dados_Vendas!$M$2:$M$151,"Concluída",Dados_Vendas!$B$2:$B$151,"&gt;="&amp;DATE(2025,C14,1),Dados_Vendas!$B$2:$B$151,"&lt;"&amp;EDATE(DATE(2025,C14,1),1))</x:f>
        <x:v>104</x:v>
      </x:c>
      <x:c r="H14" s="46" t="n">
        <x:f>COUNTIFS(Dados_Vendas!$M$2:$M$151,"Concluída",Dados_Vendas!$B$2:$B$151,"&gt;="&amp;DATE(2025,C14,1),Dados_Vendas!$B$2:$B$151,"&lt;"&amp;EDATE(DATE(2025,C14,1),1))</x:f>
        <x:v>9</x:v>
      </x:c>
    </x:row>
    <x:row r="15">
      <x:c r="C15" t="n">
        <x:v>12</x:v>
      </x:c>
      <x:c r="D15" t="str">
        <x:v>Dez/2025</x:v>
      </x:c>
      <x:c r="E15" s="44" t="n">
        <x:f>SUMIFS(Dados_Vendas!$I$2:$I$151,Dados_Vendas!$M$2:$M$151,"Concluída",Dados_Vendas!$B$2:$B$151,"&gt;="&amp;DATE(2025,C15,1),Dados_Vendas!$B$2:$B$151,"&lt;"&amp;EDATE(DATE(2025,C15,1),1))</x:f>
        <x:v>41944</x:v>
      </x:c>
      <x:c r="F15" s="44" t="n">
        <x:f>SUMIFS(Dados_Vendas!$L$2:$L$151,Dados_Vendas!$M$2:$M$151,"Concluída",Dados_Vendas!$B$2:$B$151,"&gt;="&amp;DATE(2025,C15,1),Dados_Vendas!$B$2:$B$151,"&lt;"&amp;EDATE(DATE(2025,C15,1),1))</x:f>
        <x:v>13503</x:v>
      </x:c>
      <x:c r="G15" s="46" t="n">
        <x:f>SUMIFS(Dados_Vendas!$G$2:$G$151,Dados_Vendas!$M$2:$M$151,"Concluída",Dados_Vendas!$B$2:$B$151,"&gt;="&amp;DATE(2025,C15,1),Dados_Vendas!$B$2:$B$151,"&lt;"&amp;EDATE(DATE(2025,C15,1),1))</x:f>
        <x:v>273</x:v>
      </x:c>
      <x:c r="H15" s="46" t="n">
        <x:f>COUNTIFS(Dados_Vendas!$M$2:$M$151,"Concluída",Dados_Vendas!$B$2:$B$151,"&gt;="&amp;DATE(2025,C15,1),Dados_Vendas!$B$2:$B$151,"&lt;"&amp;EDATE(DATE(2025,C15,1),1))</x:f>
        <x:v>11</x:v>
      </x:c>
    </x:row>
    <x:row r="18">
      <x:c r="A18" s="22" t="str">
        <x:v>Região</x:v>
      </x:c>
      <x:c r="B18" s="22" t="str">
        <x:v>Receita</x:v>
      </x:c>
      <x:c r="C18" s="22" t="str">
        <x:v>Lucro</x:v>
      </x:c>
      <x:c r="D18" s="22" t="str">
        <x:v>Quantidade</x:v>
      </x:c>
      <x:c r="F18" s="22" t="str">
        <x:v>Canal</x:v>
      </x:c>
      <x:c r="G18" s="22" t="str">
        <x:v>Receita</x:v>
      </x:c>
      <x:c r="H18" s="22" t="str">
        <x:v>Lucro</x:v>
      </x:c>
      <x:c r="I18" s="22" t="str">
        <x:v>Pedidos</x:v>
      </x:c>
      <x:c r="K18" s="22" t="str">
        <x:v>Categoria</x:v>
      </x:c>
      <x:c r="L18" s="22" t="str">
        <x:v>Receita</x:v>
      </x:c>
      <x:c r="M18" s="22" t="str">
        <x:v>Lucro</x:v>
      </x:c>
      <x:c r="N18" s="22" t="str">
        <x:v>Quantidade</x:v>
      </x:c>
    </x:row>
    <x:row r="19">
      <x:c r="A19" t="str">
        <x:v>Sudeste</x:v>
      </x:c>
      <x:c r="B19" s="44" t="n">
        <x:f>SUMIFS(Dados_Vendas!$I$2:$I$151,Dados_Vendas!$E$2:$E$151,A19,Dados_Vendas!$M$2:$M$151,"Concluída")</x:f>
        <x:v>174854</x:v>
      </x:c>
      <x:c r="C19" s="44" t="n">
        <x:f>SUMIFS(Dados_Vendas!$L$2:$L$151,Dados_Vendas!$E$2:$E$151,A19,Dados_Vendas!$M$2:$M$151,"Concluída")</x:f>
        <x:v>54117</x:v>
      </x:c>
      <x:c r="D19" s="46" t="n">
        <x:f>SUMIFS(Dados_Vendas!$G$2:$G$151,Dados_Vendas!$E$2:$E$151,A19,Dados_Vendas!$M$2:$M$151,"Concluída")</x:f>
        <x:v>593</x:v>
      </x:c>
      <x:c r="F19" t="str">
        <x:v>Loja Online</x:v>
      </x:c>
      <x:c r="G19" s="44" t="n">
        <x:f>SUMIFS(Dados_Vendas!$I$2:$I$151,Dados_Vendas!$F$2:$F$151,F19,Dados_Vendas!$M$2:$M$151,"Concluída")</x:f>
        <x:v>238308</x:v>
      </x:c>
      <x:c r="H19" s="44" t="n">
        <x:f>SUMIFS(Dados_Vendas!$L$2:$L$151,Dados_Vendas!$F$2:$F$151,F19,Dados_Vendas!$M$2:$M$151,"Concluída")</x:f>
        <x:v>71512</x:v>
      </x:c>
      <x:c r="I19" t="n">
        <x:f>COUNTIFS(Dados_Vendas!$F$2:$F$151,F19,Dados_Vendas!$M$2:$M$151,"Concluída")</x:f>
        <x:v>40</x:v>
      </x:c>
      <x:c r="K19" t="str">
        <x:v>Acessório</x:v>
      </x:c>
      <x:c r="L19" s="44" t="n">
        <x:f>SUMIFS(Dados_Vendas!$I$2:$I$151,Dados_Vendas!$D$2:$D$151,K19,Dados_Vendas!$M$2:$M$151,"Concluída")</x:f>
        <x:v>388681</x:v>
      </x:c>
      <x:c r="M19" s="44" t="n">
        <x:f>SUMIFS(Dados_Vendas!$L$2:$L$151,Dados_Vendas!$D$2:$D$151,K19,Dados_Vendas!$M$2:$M$151,"Concluída")</x:f>
        <x:v>129364</x:v>
      </x:c>
      <x:c r="N19" t="n">
        <x:f>SUMIFS(Dados_Vendas!$G$2:$G$151,Dados_Vendas!$D$2:$D$151,K19,Dados_Vendas!$M$2:$M$151,"Concluída")</x:f>
        <x:v>503</x:v>
      </x:c>
    </x:row>
    <x:row r="20">
      <x:c r="A20" t="str">
        <x:v>Sul</x:v>
      </x:c>
      <x:c r="B20" s="44" t="n">
        <x:f>SUMIFS(Dados_Vendas!$I$2:$I$151,Dados_Vendas!$E$2:$E$151,A20,Dados_Vendas!$M$2:$M$151,"Concluída")</x:f>
        <x:v>211472</x:v>
      </x:c>
      <x:c r="C20" s="44" t="n">
        <x:f>SUMIFS(Dados_Vendas!$L$2:$L$151,Dados_Vendas!$E$2:$E$151,A20,Dados_Vendas!$M$2:$M$151,"Concluída")</x:f>
        <x:v>61916</x:v>
      </x:c>
      <x:c r="D20" s="46" t="n">
        <x:f>SUMIFS(Dados_Vendas!$G$2:$G$151,Dados_Vendas!$E$2:$E$151,A20,Dados_Vendas!$M$2:$M$151,"Concluída")</x:f>
        <x:v>446</x:v>
      </x:c>
      <x:c r="F20" t="str">
        <x:v>Marketplace</x:v>
      </x:c>
      <x:c r="G20" s="44" t="n">
        <x:f>SUMIFS(Dados_Vendas!$I$2:$I$151,Dados_Vendas!$F$2:$F$151,F20,Dados_Vendas!$M$2:$M$151,"Concluída")</x:f>
        <x:v>265849</x:v>
      </x:c>
      <x:c r="H20" s="44" t="n">
        <x:f>SUMIFS(Dados_Vendas!$L$2:$L$151,Dados_Vendas!$F$2:$F$151,F20,Dados_Vendas!$M$2:$M$151,"Concluída")</x:f>
        <x:v>76301</x:v>
      </x:c>
      <x:c r="I20" t="n">
        <x:f>COUNTIFS(Dados_Vendas!$F$2:$F$151,F20,Dados_Vendas!$M$2:$M$151,"Concluída")</x:f>
        <x:v>31</x:v>
      </x:c>
      <x:c r="K20" t="str">
        <x:v>Assinatura</x:v>
      </x:c>
      <x:c r="L20" s="44" t="n">
        <x:f>SUMIFS(Dados_Vendas!$I$2:$I$151,Dados_Vendas!$D$2:$D$151,K20,Dados_Vendas!$M$2:$M$151,"Concluída")</x:f>
        <x:v>73207</x:v>
      </x:c>
      <x:c r="M20" s="44" t="n">
        <x:f>SUMIFS(Dados_Vendas!$L$2:$L$151,Dados_Vendas!$D$2:$D$151,K20,Dados_Vendas!$M$2:$M$151,"Concluída")</x:f>
        <x:v>40829</x:v>
      </x:c>
      <x:c r="N20" t="n">
        <x:f>SUMIFS(Dados_Vendas!$G$2:$G$151,Dados_Vendas!$D$2:$D$151,K20,Dados_Vendas!$M$2:$M$151,"Concluída")</x:f>
        <x:v>1671</x:v>
      </x:c>
    </x:row>
    <x:row r="21">
      <x:c r="A21" t="str">
        <x:v>Nordeste</x:v>
      </x:c>
      <x:c r="B21" s="44" t="n">
        <x:f>SUMIFS(Dados_Vendas!$I$2:$I$151,Dados_Vendas!$E$2:$E$151,A21,Dados_Vendas!$M$2:$M$151,"Concluída")</x:f>
        <x:v>147742</x:v>
      </x:c>
      <x:c r="C21" s="44" t="n">
        <x:f>SUMIFS(Dados_Vendas!$L$2:$L$151,Dados_Vendas!$E$2:$E$151,A21,Dados_Vendas!$M$2:$M$151,"Concluída")</x:f>
        <x:v>44534</x:v>
      </x:c>
      <x:c r="D21" s="46" t="n">
        <x:f>SUMIFS(Dados_Vendas!$G$2:$G$151,Dados_Vendas!$E$2:$E$151,A21,Dados_Vendas!$M$2:$M$151,"Concluída")</x:f>
        <x:v>559</x:v>
      </x:c>
      <x:c r="F21" t="str">
        <x:v>Loja Física</x:v>
      </x:c>
      <x:c r="G21" s="44" t="n">
        <x:f>SUMIFS(Dados_Vendas!$I$2:$I$151,Dados_Vendas!$F$2:$F$151,F21,Dados_Vendas!$M$2:$M$151,"Concluída")</x:f>
        <x:v>183050</x:v>
      </x:c>
      <x:c r="H21" s="44" t="n">
        <x:f>SUMIFS(Dados_Vendas!$L$2:$L$151,Dados_Vendas!$F$2:$F$151,F21,Dados_Vendas!$M$2:$M$151,"Concluída")</x:f>
        <x:v>55888</x:v>
      </x:c>
      <x:c r="I21" t="n">
        <x:f>COUNTIFS(Dados_Vendas!$F$2:$F$151,F21,Dados_Vendas!$M$2:$M$151,"Concluída")</x:f>
        <x:v>29</x:v>
      </x:c>
      <x:c r="K21" t="str">
        <x:v>Console</x:v>
      </x:c>
      <x:c r="L21" s="44" t="n">
        <x:f>SUMIFS(Dados_Vendas!$I$2:$I$151,Dados_Vendas!$D$2:$D$151,K21,Dados_Vendas!$M$2:$M$151,"Concluída")</x:f>
        <x:v>421028</x:v>
      </x:c>
      <x:c r="M21" s="44" t="n">
        <x:f>SUMIFS(Dados_Vendas!$L$2:$L$151,Dados_Vendas!$D$2:$D$151,K21,Dados_Vendas!$M$2:$M$151,"Concluída")</x:f>
        <x:v>94235</x:v>
      </x:c>
      <x:c r="N21" t="n">
        <x:f>SUMIFS(Dados_Vendas!$G$2:$G$151,Dados_Vendas!$D$2:$D$151,K21,Dados_Vendas!$M$2:$M$151,"Concluída")</x:f>
        <x:v>132</x:v>
      </x:c>
    </x:row>
    <x:row r="22">
      <x:c r="A22" t="str">
        <x:v>Centro-Oeste</x:v>
      </x:c>
      <x:c r="B22" s="44" t="n">
        <x:f>SUMIFS(Dados_Vendas!$I$2:$I$151,Dados_Vendas!$E$2:$E$151,A22,Dados_Vendas!$M$2:$M$151,"Concluída")</x:f>
        <x:v>258054</x:v>
      </x:c>
      <x:c r="C22" s="44" t="n">
        <x:f>SUMIFS(Dados_Vendas!$L$2:$L$151,Dados_Vendas!$E$2:$E$151,A22,Dados_Vendas!$M$2:$M$151,"Concluída")</x:f>
        <x:v>71486</x:v>
      </x:c>
      <x:c r="D22" s="46" t="n">
        <x:f>SUMIFS(Dados_Vendas!$G$2:$G$151,Dados_Vendas!$E$2:$E$151,A22,Dados_Vendas!$M$2:$M$151,"Concluída")</x:f>
        <x:v>723</x:v>
      </x:c>
      <x:c r="F22" t="str">
        <x:v>Parceiro</x:v>
      </x:c>
      <x:c r="G22" s="44" t="n">
        <x:f>SUMIFS(Dados_Vendas!$I$2:$I$151,Dados_Vendas!$F$2:$F$151,F22,Dados_Vendas!$M$2:$M$151,"Concluída")</x:f>
        <x:v>254289</x:v>
      </x:c>
      <x:c r="H22" s="44" t="n">
        <x:f>SUMIFS(Dados_Vendas!$L$2:$L$151,Dados_Vendas!$F$2:$F$151,F22,Dados_Vendas!$M$2:$M$151,"Concluída")</x:f>
        <x:v>78209</x:v>
      </x:c>
      <x:c r="I22" t="n">
        <x:f>COUNTIFS(Dados_Vendas!$F$2:$F$151,F22,Dados_Vendas!$M$2:$M$151,"Concluída")</x:f>
        <x:v>33</x:v>
      </x:c>
      <x:c r="K22" t="str">
        <x:v>Serviço</x:v>
      </x:c>
      <x:c r="L22" s="44" t="n">
        <x:f>SUMIFS(Dados_Vendas!$I$2:$I$151,Dados_Vendas!$D$2:$D$151,K22,Dados_Vendas!$M$2:$M$151,"Concluída")</x:f>
        <x:v>58580</x:v>
      </x:c>
      <x:c r="M22" s="44" t="n">
        <x:f>SUMIFS(Dados_Vendas!$L$2:$L$151,Dados_Vendas!$D$2:$D$151,K22,Dados_Vendas!$M$2:$M$151,"Concluída")</x:f>
        <x:v>17482</x:v>
      </x:c>
      <x:c r="N22" t="n">
        <x:f>SUMIFS(Dados_Vendas!$G$2:$G$151,Dados_Vendas!$D$2:$D$151,K22,Dados_Vendas!$M$2:$M$151,"Concluída")</x:f>
        <x:v>589</x:v>
      </x:c>
    </x:row>
    <x:row r="23">
      <x:c r="A23" t="str">
        <x:v>Norte</x:v>
      </x:c>
      <x:c r="B23" s="44" t="n">
        <x:f>SUMIFS(Dados_Vendas!$I$2:$I$151,Dados_Vendas!$E$2:$E$151,A23,Dados_Vendas!$M$2:$M$151,"Concluída")</x:f>
        <x:v>149374</x:v>
      </x:c>
      <x:c r="C23" s="44" t="n">
        <x:f>SUMIFS(Dados_Vendas!$L$2:$L$151,Dados_Vendas!$E$2:$E$151,A23,Dados_Vendas!$M$2:$M$151,"Concluída")</x:f>
        <x:v>49857</x:v>
      </x:c>
      <x:c r="D23" s="46" t="n">
        <x:f>SUMIFS(Dados_Vendas!$G$2:$G$151,Dados_Vendas!$E$2:$E$151,A23,Dados_Vendas!$M$2:$M$151,"Concluída")</x:f>
        <x:v>574</x:v>
      </x:c>
    </x:row>
  </x:sheetData>
  <x:mergeCells>
    <x:mergeCell ref="A1:K1"/>
  </x:mergeCells>
  <x:pageMargins left="0.7" right="0.7" top="0.75" bottom="0.75" header="0.3" footer="0.3"/>
  <x:tableParts count="5">
    <x:tablePart xmlns:r="http://schemas.openxmlformats.org/officeDocument/2006/relationships" r:id="R851eb5a7c1384689"/>
    <x:tablePart xmlns:r="http://schemas.openxmlformats.org/officeDocument/2006/relationships" r:id="Rce8382e45a044919"/>
    <x:tablePart xmlns:r="http://schemas.openxmlformats.org/officeDocument/2006/relationships" r:id="Rdfa0df1e7ae44bcc"/>
    <x:tablePart xmlns:r="http://schemas.openxmlformats.org/officeDocument/2006/relationships" r:id="R3993b43e12ea4e99"/>
    <x:tablePart xmlns:r="http://schemas.openxmlformats.org/officeDocument/2006/relationships" r:id="R9eaf993390b940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5" t="str">
        <x:v>Projeto de Extensão: Dashboard de Vendas do Xbox com Excel</x:v>
      </x:c>
    </x:row>
    <x:row r="3">
      <x:c r="A3" s="11" t="str">
        <x:v>Objetivo</x:v>
      </x:c>
    </x:row>
    <x:row r="4">
      <x:c r="A4" s="14" t="str">
        <x:v>Transformar dados brutos de vendas em informações visuais claras para análise do desempenho comercial, apoiando a tomada de decisão com indicadores, gráficos e segmentações.</x:v>
      </x:c>
    </x:row>
    <x:row r="8">
      <x:c r="A8" s="11" t="str">
        <x:v>Como usar</x:v>
      </x:c>
    </x:row>
    <x:row r="9">
      <x:c r="A9" s="18" t="str">
        <x:v>1</x:v>
      </x:c>
      <x:c r="B9" s="14" t="str">
        <x:v>Atualize ou substitua os registros na aba Dados_Vendas.</x:v>
      </x:c>
    </x:row>
    <x:row r="10">
      <x:c r="A10" s="18" t="str">
        <x:v>2</x:v>
      </x:c>
      <x:c r="B10" s="14" t="str">
        <x:v>Confira se as colunas Quantidade, Preço Unitário e Custo Unitário foram preenchidas.</x:v>
      </x:c>
    </x:row>
    <x:row r="11">
      <x:c r="A11" s="18" t="str">
        <x:v>3</x:v>
      </x:c>
      <x:c r="B11" s="14" t="str">
        <x:v>As colunas Receita, Custo Total e Lucro são calculadas automaticamente por fórmulas.</x:v>
      </x:c>
    </x:row>
    <x:row r="12">
      <x:c r="A12" s="18" t="str">
        <x:v>4</x:v>
      </x:c>
      <x:c r="B12" s="14" t="str">
        <x:v>A aba Resumo consolida indicadores por mês, produto, categoria, região e canal.</x:v>
      </x:c>
    </x:row>
    <x:row r="13">
      <x:c r="A13" s="18" t="str">
        <x:v>5</x:v>
      </x:c>
      <x:c r="B13" s="14" t="str">
        <x:v>A aba Dashboard apresenta os principais KPIs e gráficos para análise.</x:v>
      </x:c>
    </x:row>
    <x:row r="16">
      <x:c r="A16" s="11" t="str">
        <x:v>Observação</x:v>
      </x:c>
    </x:row>
    <x:row r="17">
      <x:c r="A17" s="14" t="str">
        <x:v>Os dados deste arquivo são fictícios e foram criados para fins acadêmicos e de demonstração do dashboard.</x:v>
      </x:c>
    </x:row>
  </x:sheetData>
  <x:mergeCells>
    <x:mergeCell ref="A1:F1"/>
    <x:mergeCell ref="A4:F6"/>
    <x:mergeCell ref="A17:F18"/>
  </x:mergeCells>
  <x:pageMargins left="0.7" right="0.7" top="0.75" bottom="0.75" header="0.3" footer="0.3"/>
</x:worksheet>
</file>